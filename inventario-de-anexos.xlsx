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d5e7b5eac40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ário" sheetId="1" r:id="R9cff5a449d9d4eb3"/>
    <x:sheet xmlns:r="http://schemas.openxmlformats.org/officeDocument/2006/relationships" name="Resumo" sheetId="2" r:id="Rfed0e61c530642db"/>
    <x:sheet xmlns:r="http://schemas.openxmlformats.org/officeDocument/2006/relationships" name="Legenda" sheetId="3" r:id="Rfc972bb3f96a4cf2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<x:sst xmlns:x="http://schemas.openxmlformats.org/spreadsheetml/2006/main">
  <x:si>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</x:si>
  <x:si>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Categoria</x:t>
  </x:si>
  <x:si>
    <x:t xml:space="preserve">Item</x:t>
  </x:si>
  <x:si>
    <x:t xml:space="preserve">Tipo (enum)</x:t>
  </x:si>
  <x:si>
    <x:t xml:space="preserve">Exigido pelo edital</x:t>
  </x:si>
  <x:si>
    <x:t xml:space="preserve">Status</x:t>
  </x:si>
  <x:si>
    <x:t xml:space="preserve">Fonte atual</x:t>
  </x:si>
  <x:si>
    <x:t xml:space="preserve">Link atual</x:t>
  </x:si>
  <x:si>
    <x:t xml:space="preserve">Slug proposto</x:t>
  </x:si>
  <x:si>
    <x:t xml:space="preserve">Responsável</x:t>
  </x:si>
  <x:si>
    <x:t xml:space="preserve">Prazo</x:t>
  </x:si>
  <x:si>
    <x:t xml:space="preserve">Espelhado</x:t>
  </x:si>
  <x:si>
    <x:t xml:space="preserve">URL permanente</x:t>
  </x:si>
  <x:si>
    <x:t xml:space="preserve">SHA-256</x:t>
  </x:si>
  <x:si>
    <x:t xml:space="preserve">Observações</x:t>
  </x:si>
  <x:si>
    <x:t xml:space="preserve">Natureza</x:t>
  </x:si>
  <x:si>
    <x:t xml:space="preserve">A01</x:t>
  </x:si>
  <x:si>
    <x:t xml:space="preserve">Análise de dados</x:t>
  </x:si>
  <x:si>
    <x:t xml:space="preserve">Painel Vivo de Dados</x:t>
  </x:si>
  <x:si>
    <x:t xml:space="preserve">painel_dados</x:t>
  </x:si>
  <x:si>
    <x:t xml:space="preserve">Sim</x:t>
  </x:si>
  <x:si>
    <x:t xml:space="preserve">Disponível</x:t>
  </x:si>
  <x:si>
    <x:t xml:space="preserve">Figma</x:t>
  </x:si>
  <x:si>
    <x:t xml:space="preserve">https://www.figma.com/board/kMsYJxJYHv8fBFJYEmuZ7Y/Tobias-Sou-Eu?node-id=0-1</x:t>
  </x:si>
  <x:si>
    <x:t xml:space="preserve">painel-vivo-figma</x:t>
  </x:si>
  <x:si>
    <x:t xml:space="preserve">item_exigido</x:t>
  </x:si>
  <x:si>
    <x:t xml:space="preserve">A02</x:t>
  </x:si>
  <x:si>
    <x:t xml:space="preserve">Relatório Técnico — Recanto da Serra</x:t>
  </x:si>
  <x:si>
    <x:t xml:space="preserve">relatorio_tecnico</x:t>
  </x:si>
  <x:si>
    <x:t xml:space="preserve">Google Docs</x:t>
  </x:si>
  <x:si>
    <x:t xml:space="preserve">https://docs.google.com/document/d/1enNLpwLkqmixIcIJxBzmyHCO5VMm5dL78buymcw8v0M/edit</x:t>
  </x:si>
  <x:si>
    <x:t xml:space="preserve">relatorio-tecnico-recanto-da-serra</x:t>
  </x:si>
  <x:si>
    <x:t xml:space="preserve">18b7bbb11b6157af525c7e1c88b7e385763dadc094bb60fdf6f3a27d9c2aff91</x:t>
  </x:si>
  <x:si>
    <x:t xml:space="preserve">Fonte canônica local: relatorios/relatorio-tecnico-recanto-da-serra.pdf, 14 páginas, título interno 'RELATÓRIO TÉCNICO – RECANTO DA SERRA'. SHA-256 é do original local, NÃO de objeto espelhado: nada foi enviado a storage. Contém a seção que serve de fonte a A05. Exige revisão de privacidade — nomeia trabalhadores remunerados. Não promovido a PUBLICAVEL.</x:t>
  </x:si>
  <x:si>
    <x:t xml:space="preserve">A03</x:t>
  </x:si>
  <x:si>
    <x:t xml:space="preserve">Relatório Técnico — Borda da Mata</x:t>
  </x:si>
  <x:si>
    <x:t xml:space="preserve">relatorio-tecnico-borda-da-mata</x:t>
  </x:si>
  <x:si>
    <x:t xml:space="preserve">6dfef47006ed97133c8fef2ce0b935643c7955efbc7abaece2bcc9b0edcfea2e</x:t>
  </x:si>
  <x:si>
    <x:t xml:space="preserve">Fonte canônica local: relatorios/relatorio-tecnico-borda-da-mata.pdf, 7 páginas, título interno 'RELATÓRIO TÉCNICO – BORDA DA MATA'. PDF sem camada de texto: 7 imagens JPEG, zero fontes. Derivado existente: derivados/a03-borda-da-mata-ocr.md, sha256 502d9bf1433413cfd17fe70442f6351efbe708aad7a94314946b2b64b366ff8b, produzido por TRANSCRIÇÃO ASSISTIDA POR LEITURA VISUAL — não por OCR estatístico. Original preservado e RESTRITO até revisão. O valor em 'Link atual' é compartilhado com A02 e A04 e não identifica este item.</x:t>
  </x:si>
  <x:si>
    <x:t xml:space="preserve">A04</x:t>
  </x:si>
  <x:si>
    <x:t xml:space="preserve">Relatório Técnico — Serra dos Macacos</x:t>
  </x:si>
  <x:si>
    <x:t xml:space="preserve">relatorio-tecnico-serra-dos-macacos</x:t>
  </x:si>
  <x:si>
    <x:t xml:space="preserve">7e966429d1fccae8f7583ebc0fb6644c8f6393390e5a2a0d633cbe79a79a7cde</x:t>
  </x:si>
  <x:si>
    <x:t xml:space="preserve">Fonte canônica local: relatorios/relatorio-tecnico-serra-dos-macacos.pdf, 4 páginas. Título interno é 'RELATO TÉCNICO SERRA DOS MACACOS' — 'RELATO', não 'RELATÓRIO'. Divergência registrada, não corrigida. O valor em 'Link atual' é compartilhado com A02 e A03 e não identifica este item.</x:t>
  </x:si>
  <x:si>
    <x:t xml:space="preserve">A05</x:t>
  </x:si>
  <x:si>
    <x:t xml:space="preserve">Diagnóstico Interno — Recanto da Serra</x:t>
  </x:si>
  <x:si>
    <x:t xml:space="preserve">diagnostico_interno</x:t>
  </x:si>
  <x:si>
    <x:t xml:space="preserve">Pendente</x:t>
  </x:si>
  <x:si>
    <x:t xml:space="preserve">diagnostico-interno-recanto-da-serra</x:t>
  </x:si>
  <x:si>
    <x:t xml:space="preserve">derivavel_de = A02. Seção comprovada no original de A02: 'Diagnóstico detalhado do Recanto da Serra'. O artefato A05 separado ainda NÃO existe, por isso o status permanece Pendente e não ESPELHAVEL. Não extraído nesta rodada.</x:t>
  </x:si>
  <x:si>
    <x:t xml:space="preserve">A06</x:t>
  </x:si>
  <x:si>
    <x:t xml:space="preserve">Diagnóstico Interno — Borda da Mata</x:t>
  </x:si>
  <x:si>
    <x:t xml:space="preserve">diagnostico-interno-borda-da-mata</x:t>
  </x:si>
  <x:si>
    <x:t xml:space="preserve">derivavel_de = A03. Seção comprovada na transcrição derivada de A03: 'Resumo Executivo: Diagnóstico de Impacto Econômico e Cultural – Borda da Mata', mais o detalhamento numerado. O artefato A06 separado ainda NÃO existe, por isso o status permanece Pendente e não ESPELHAVEL. Não extraído nesta rodada.</x:t>
  </x:si>
  <x:si>
    <x:t xml:space="preserve">A07</x:t>
  </x:si>
  <x:si>
    <x:t xml:space="preserve">Diagnóstico Interno — Visitantes I</x:t>
  </x:si>
  <x:si>
    <x:t xml:space="preserve">diagnostico-interno-visitantes-i</x:t>
  </x:si>
  <x:si>
    <x:t xml:space="preserve">A08</x:t>
  </x:si>
  <x:si>
    <x:t xml:space="preserve">Diagnóstico Interno — Visitantes II</x:t>
  </x:si>
  <x:si>
    <x:t xml:space="preserve">diagnostico-interno-visitantes-ii</x:t>
  </x:si>
  <x:si>
    <x:t xml:space="preserve">A09</x:t>
  </x:si>
  <x:si>
    <x:t xml:space="preserve">formulario_modelo</x:t>
  </x:si>
  <x:si>
    <x:t xml:space="preserve">A corrigir</x:t>
  </x:si>
  <x:si>
    <x:t xml:space="preserve">Google Forms</x:t>
  </x:si>
  <x:si>
    <x:t xml:space="preserve">https://docs.google.com/forms/d/1MtLyy5r3S6lAkFd-xaF6yd9cOBPggQiEjSC9zzp_6Qg/edit#responses</x:t>
  </x:si>
  <x:si>
    <x:t xml:space="preserve">formulario-rotina-de-funcionamento</x:t>
  </x:si>
  <x:si>
    <x:t xml:space="preserve">instrumento_original_separado = nao_localizado. fonte_das_perguntas = cabecalhos_das_planilhas. Reconstituível a partir de formularios/formulario-de-funcionamento-pedro-e-oviedo.xlsx, cujos cabeçalhos são o texto das perguntas aplicadas. Qualquer documento gerado assim é 'Reconstituição do instrumento de coleta', não o instrumento original. Respostas individuais são RESTRITO — a planilha tem coluna com nome de responsável. PDF não produzido.</x:t>
  </x:si>
  <x:si>
    <x:t xml:space="preserve">A10</x:t>
  </x:si>
  <x:si>
    <x:t xml:space="preserve">formulario-publico-consumidor</x:t>
  </x:si>
  <x:si>
    <x:t xml:space="preserve">instrumento_original_separado = nao_localizado. fonte_das_perguntas = cabecalhos_das_planilhas. Reconstituível a partir de formularios/formulario-recanto-da-serra-respostas.xlsx e formularios/formulario-borda-da-mata-respostas.xlsx. Qualquer documento gerado assim é 'Reconstituição do instrumento de coleta'. Respostas individuais são RESTRITO. PDF não produzido.</x:t>
  </x:si>
  <x:si>
    <x:t xml:space="preserve">B01</x:t>
  </x:si>
  <x:si>
    <x:t xml:space="preserve">Comprovação de campo</x:t>
  </x:si>
  <x:si>
    <x:t xml:space="preserve">Fotografias de comprovação — Visitas I a VII</x:t>
  </x:si>
  <x:si>
    <x:t xml:space="preserve">outro</x:t>
  </x:si>
  <x:si>
    <x:t xml:space="preserve">Google Drive</x:t>
  </x:si>
  <x:si>
    <x:t xml:space="preserve">https://drive.google.com/drive/folders/12HRvnl9lKbfStwsusFCSyPfCxOv7hxFs</x:t>
  </x:si>
  <x:si>
    <x:t xml:space="preserve">fotografias-visitas-i-vii</x:t>
  </x:si>
  <x:si>
    <x:t xml:space="preserve">B02</x:t>
  </x:si>
  <x:si>
    <x:t xml:space="preserve">Entrevista — Josenilson Bispo (27/03/2026)</x:t>
  </x:si>
  <x:si>
    <x:t xml:space="preserve">entrevista_transcricao</x:t>
  </x:si>
  <x:si>
    <x:t xml:space="preserve">https://drive.google.com/drive/folders/1r8F8XNIjiq9Agq63qzqxpAGHbBzOJIA4</x:t>
  </x:si>
  <x:si>
    <x:t xml:space="preserve">entrevista-josenilson-bispo</x:t>
  </x:si>
  <x:si>
    <x:t xml:space="preserve">B03</x:t>
  </x:si>
  <x:si>
    <x:t xml:space="preserve">Entrevista — Oviêdo e Neide Abreu (28/03/2026)</x:t>
  </x:si>
  <x:si>
    <x:t xml:space="preserve">entrevista-oviedo-e-neide-abreu</x:t>
  </x:si>
  <x:si>
    <x:t xml:space="preserve">B04</x:t>
  </x:si>
  <x:si>
    <x:t xml:space="preserve">Entrevista — Pedro Menezes (05/04/2026)</x:t>
  </x:si>
  <x:si>
    <x:t xml:space="preserve">A confirmar</x:t>
  </x:si>
  <x:si>
    <x:t xml:space="preserve">entrevista-pedro-menezes</x:t>
  </x:si>
  <x:si>
    <x:t xml:space="preserve">B05</x:t>
  </x:si>
  <x:si>
    <x:t xml:space="preserve">Entrevista — Paola Santana (06/04/2026)</x:t>
  </x:si>
  <x:si>
    <x:t xml:space="preserve">entrevista-paola-santana</x:t>
  </x:si>
  <x:si>
    <x:t xml:space="preserve">B06</x:t>
  </x:si>
  <x:si>
    <x:t xml:space="preserve">Entrevista — Maria Madalena Santos (Dona Madá), Ilha Grande</x:t>
  </x:si>
  <x:si>
    <x:t xml:space="preserve">entrevista-lideranca-ilha-grande</x:t>
  </x:si>
  <x:si>
    <x:t xml:space="preserve">Reconciliado em 2026-09-06. Nome declarado: Maria Madalena Santos; nome de exibição: Dona Madá. Descrição sustentada: moradora / memória local. RETIRADOS por falta de fonte, e registrados aqui como proveniência: a data '11/04/2026' e a classificação 'liderança', ambas presentes antes e não confirmadas por nenhum arquivo do acervo. Consentimento: verbal_gravado; declaracao_responsavel = autorizado; evidencia_transcricao = nao_localizada; evidencia_audio = pendente_verificacao. Fonte canônica local: entrevistas/08-dona-mada/. Não promovido a PUBLICAVEL.</x:t>
  </x:si>
  <x:si>
    <x:t xml:space="preserve">B07</x:t>
  </x:si>
  <x:si>
    <x:t xml:space="preserve">Entrevista — Secretaria de Cultura de Itabaianinha</x:t>
  </x:si>
  <x:si>
    <x:t xml:space="preserve">entrevista-cultura-itabaianinha</x:t>
  </x:si>
  <x:si>
    <x:t xml:space="preserve">PERMANECE como previsão de entrevista de Itabaianinha que NÃO se realizou. Não foi reclassificado como Tomar do Geru e não recebeu arquivo. B13 não o substitui: é item complementar de outra entrevista, de outro município. Continua no conjunto dos 28 itens obrigatórios, como pendência real.</x:t>
  </x:si>
  <x:si>
    <x:t xml:space="preserve">B08</x:t>
  </x:si>
  <x:si>
    <x:t xml:space="preserve">Entrevista — Prefeito de Tobias Barreto</x:t>
  </x:si>
  <x:si>
    <x:t xml:space="preserve">entrevista-prefeito-tobias-barreto</x:t>
  </x:si>
  <x:si>
    <x:t xml:space="preserve">B09</x:t>
  </x:si>
  <x:si>
    <x:t xml:space="preserve">Relato de campo — Lhucas</x:t>
  </x:si>
  <x:si>
    <x:t xml:space="preserve">relato_campo</x:t>
  </x:si>
  <x:si>
    <x:t xml:space="preserve">relato-de-campo-lhucas</x:t>
  </x:si>
  <x:si>
    <x:t xml:space="preserve">B10</x:t>
  </x:si>
  <x:si>
    <x:t xml:space="preserve">Relato de campo — Fabricio</x:t>
  </x:si>
  <x:si>
    <x:t xml:space="preserve">relato-de-campo-fabricio</x:t>
  </x:si>
  <x:si>
    <x:t xml:space="preserve">B11</x:t>
  </x:si>
  <x:si>
    <x:t xml:space="preserve">Relato de campo — Luiz</x:t>
  </x:si>
  <x:si>
    <x:t xml:space="preserve">relato-de-campo-luiz</x:t>
  </x:si>
  <x:si>
    <x:t xml:space="preserve">B12</x:t>
  </x:si>
  <x:si>
    <x:t xml:space="preserve">Relato de campo — Galileu</x:t>
  </x:si>
  <x:si>
    <x:t xml:space="preserve">relato-de-campo-galileu</x:t>
  </x:si>
  <x:si>
    <x:t xml:space="preserve">C01</x:t>
  </x:si>
  <x:si>
    <x:t xml:space="preserve">Produto final</x:t>
  </x:si>
  <x:si>
    <x:t xml:space="preserve">Relatório Parcial de Levantamento de Dados</x:t>
  </x:si>
  <x:si>
    <x:t xml:space="preserve">relatorio_parcial</x:t>
  </x:si>
  <x:si>
    <x:t xml:space="preserve">Arquivo local</x:t>
  </x:si>
  <x:si>
    <x:t xml:space="preserve">relatorio-parcial-levantamento-de-dados</x:t>
  </x:si>
  <x:si>
    <x:t xml:space="preserve">C02</x:t>
  </x:si>
  <x:si>
    <x:t xml:space="preserve">Documento Final da pesquisa</x:t>
  </x:si>
  <x:si>
    <x:t xml:space="preserve">documento_final</x:t>
  </x:si>
  <x:si>
    <x:t xml:space="preserve">documento-final</x:t>
  </x:si>
  <x:si>
    <x:t xml:space="preserve">C03</x:t>
  </x:si>
  <x:si>
    <x:t xml:space="preserve">Relatório de modelagem estatística</x:t>
  </x:si>
  <x:si>
    <x:t xml:space="preserve">modelagem_estatistica</x:t>
  </x:si>
  <x:si>
    <x:t xml:space="preserve">modelagem-estatistica</x:t>
  </x:si>
  <x:si>
    <x:t xml:space="preserve">C04</x:t>
  </x:si>
  <x:si>
    <x:t xml:space="preserve">PodObservar — 1ª temporada</x:t>
  </x:si>
  <x:si>
    <x:t xml:space="preserve">podobservar-temporada-1</x:t>
  </x:si>
  <x:si>
    <x:t xml:space="preserve">D01</x:t>
  </x:si>
  <x:si>
    <x:t xml:space="preserve">Publicidade</x:t>
  </x:si>
  <x:si>
    <x:t xml:space="preserve">Identidade visual — logomarca e cards</x:t>
  </x:si>
  <x:si>
    <x:t xml:space="preserve">identidade_visual</x:t>
  </x:si>
  <x:si>
    <x:t xml:space="preserve">Não</x:t>
  </x:si>
  <x:si>
    <x:t xml:space="preserve">https://drive.google.com/drive/folders/1Rfp-BnVWN4MJMi1-Uijh3joD9RxhPMsH</x:t>
  </x:si>
  <x:si>
    <x:t xml:space="preserve">identidade-visual</x:t>
  </x:si>
  <x:si>
    <x:t xml:space="preserve">item_nao_exigido</x:t>
  </x:si>
  <x:si>
    <x:t xml:space="preserve">D02</x:t>
  </x:si>
  <x:si>
    <x:t xml:space="preserve">Instagram @obs_tobiassoueu</x:t>
  </x:si>
  <x:si>
    <x:t xml:space="preserve">Instagram</x:t>
  </x:si>
  <x:si>
    <x:t xml:space="preserve">https://www.instagram.com/obs_tobiassoueu/</x:t>
  </x:si>
  <x:si>
    <x:t xml:space="preserve">instagram</x:t>
  </x:si>
  <x:si>
    <x:t xml:space="preserve">E01</x:t>
  </x:si>
  <x:si>
    <x:t xml:space="preserve">Conformidade</x:t>
  </x:si>
  <x:si>
    <x:t xml:space="preserve">Termos de consentimento das entrevistas</x:t>
  </x:si>
  <x:si>
    <x:t xml:space="preserve">termos-de-consentimento</x:t>
  </x:si>
  <x:si>
    <x:t xml:space="preserve">E02</x:t>
  </x:si>
  <x:si>
    <x:t xml:space="preserve">Manual de aplicação de marcas do edital</x:t>
  </x:si>
  <x:si>
    <x:t xml:space="preserve">manual-de-marcas</x:t>
  </x:si>
  <x:si>
    <x:t xml:space="preserve">B13</x:t>
  </x:si>
  <x:si>
    <x:t xml:space="preserve">Entrevista — Laerte Santos Aguiar, Secretário Municipal de Cultura de Tomar do Geru</x:t>
  </x:si>
  <x:si>
    <x:t xml:space="preserve">entrevista-laerte-aguiar</x:t>
  </x:si>
  <x:si>
    <x:t xml:space="preserve">EVIDÊNCIA COMPLEMENTAR — não exigida pelo edital; obrigatorio = false. Estado preliminar: RESTRITO. NÃO substitui B07, que segue como previsão não realizada de Itabaianinha. Nome declarado: Laerte Santos Aguiar. Função: Secretário Municipal de Cultura. Município: Tomar do Geru. Fonte canônica local: entrevistas/07-laerte-aguiar/ — áudio e transcrição. Consentimento verbal gravado, evidência localizada na transcrição. Participante adicional sustentado pela fonte: Mateus Cardoso Rita, sacristão, que também autoriza a gravação e não é entrevistado principal.</x:t>
  </x:si>
  <x:si>
    <x:t xml:space="preserve">evidencia_complementar</x:t>
  </x:si>
  <x:si>
    <x:t xml:space="preserve">B14</x:t>
  </x:si>
  <x:si>
    <x:t xml:space="preserve">Entrevista — Márcio André, Diretor de Turismo de São Cristóvão</x:t>
  </x:si>
  <x:si>
    <x:t xml:space="preserve">entrevista-marcio-andre</x:t>
  </x:si>
  <x:si>
    <x:t xml:space="preserve">EVIDÊNCIA COMPLEMENTAR — não exigida pelo edital; obrigatorio = false. Estado preliminar: RESTRITO. Nome declarado: Márcio André Soares Ramos; nome de exibição: Márcio André. Função: Diretor de Turismo de São Cristóvão. Fonte canônica local: entrevistas/04-diretor-turismo-sao-cristovao/. Consentimento verbal gravado, evidência localizada na transcrição. Participante adicional sustentado pela fonte: Ian Victor Batista de Araújo, que também autoriza a gravação; NÃO é segundo entrevistado principal. A grafia 'marcio-ramos', presente em nome de foto, é nomenclatura histórica divergente do mesmo nome, não outra pessoa.</x:t>
  </x:si>
  <x:si>
    <x:t xml:space="preserve">A11</x:t>
  </x:si>
  <x:si>
    <x:t xml:space="preserve">Anexo Técnico de Indicadores — Etapa 1 de Levantamento</x:t>
  </x:si>
  <x:si>
    <x:t xml:space="preserve">anexo-indicadores-etapa-1</x:t>
  </x:si>
  <x:si>
    <x:t xml:space="preserve">EVIDÊNCIA COMPLEMENTAR — não exigida pelo edital; obrigatorio = false. Não foi exigido pela FUNCAP. Estado preliminar: RESTRITO, porque o conjunto contém arquivos que exigem revisão de privacidade — 06-pessoas-trabalho e 08-fornecedores nomeiam pessoas. NÃO substitui A01, que continua representando o painel interativo no Figma. Fonte canônica local: formularios/indicadores-observatorio/ — uma planilha de 17 abas mais 17 PDFs que a renderizam, aba por aba. A nota metodológica desse conjunto é a origem da regra de anonimização de comentários que citam terceiros.</x:t>
  </x:si>
  <x:si>
    <x:t xml:space="preserve">Situação do inventário de anexos</x:t>
  </x:si>
  <x:si>
    <x:t xml:space="preserve">Todos os números abaixo são fórmulas sobre a aba Inventário. Não editar.</x:t>
  </x:si>
  <x:si>
    <x:t xml:space="preserve">Total de itens</x:t>
  </x:si>
  <x:si>
    <x:t xml:space="preserve">Exigidos pelo edital</x:t>
  </x:si>
  <x:si>
    <x:t xml:space="preserve">Disponíveis</x:t>
  </x:si>
  <x:si>
    <x:t xml:space="preserve">Pendentes</x:t>
  </x:si>
  <x:si>
    <x:t xml:space="preserve">Exigidos ainda não disponíveis</x:t>
  </x:si>
  <x:si>
    <x:t xml:space="preserve">Já espelhados em URL própria</x:t>
  </x:si>
  <x:si>
    <x:t xml:space="preserve">Exigidos sem espelho (bloqueiam publicação)</x:t>
  </x:si>
  <x:si>
    <x:t xml:space="preserve">Dependentes de Google Drive/Docs/Forms/Figma</x:t>
  </x:si>
  <x:si>
    <x:t xml:space="preserve">Por categoria</x:t>
  </x:si>
  <x:si>
    <x:t xml:space="preserve">Itens</x:t>
  </x:si>
  <x:si>
    <x:t xml:space="preserve">Como usar esta planilha</x:t>
  </x:si>
  <x:si>
    <x:t xml:space="preserve">As células em AMARELO são as que você preenche: Responsável, Prazo, Espelhado,</x:t>
  </x:si>
  <x:si>
    <x:t xml:space="preserve">URL permanente, SHA-256 e Observações. As demais colunas vêm do Relatório Parcial</x:t>
  </x:si>
  <x:si>
    <x:t xml:space="preserve">e do documento de Links de Referência — só altere se houver correção real.</x:t>
  </x:si>
  <x:si>
    <x:t xml:space="preserve">Esta planilha é a fonte da tarefa 06 (espelhamento) e do seed das tabelas</x:t>
  </x:si>
  <x:si>
    <x:t xml:space="preserve">'documento' e 'arquivo'. Exporte a aba Inventário como CSV para alimentar o script.</x:t>
  </x:si>
  <x:si>
    <x:t xml:space="preserve">Exemplo de linha preenchida</x:t>
  </x:si>
  <x:si>
    <x:t xml:space="preserve">Responsável: Lhucas</x:t>
  </x:si>
  <x:si>
    <x:t xml:space="preserve">Prazo: 15/09/2026</x:t>
  </x:si>
  <x:si>
    <x:t xml:space="preserve">Espelhado: Sim</x:t>
  </x:si>
  <x:si>
    <x:t xml:space="preserve">URL permanente: https://&lt;dominio&gt;/arquivos/relatorios/relatorio-tecnico-recanto-da-serra-v1.pdf</x:t>
  </x:si>
  <x:si>
    <x:t xml:space="preserve">SHA-256: 9f2c4a1b... (64 caracteres, gerado por scripts/gerar-hashes.ts)</x:t>
  </x:si>
  <x:si>
    <x:t xml:space="preserve">Observações: versão revisada em 12/09; substitui o PDF anterior</x:t>
  </x:si>
  <x:si>
    <x:t xml:space="preserve">Significado dos status</x:t>
  </x:si>
  <x:si>
    <x:t xml:space="preserve">Disponível — arquivo existe e está acessível para download</x:t>
  </x:si>
  <x:si>
    <x:t xml:space="preserve">Pendente — o arquivo ainda não foi produzido ou não foi localizado</x:t>
  </x:si>
  <x:si>
    <x:t xml:space="preserve">A confirmar — existe, mas falta confirmar acesso, versão ou consentimento</x:t>
  </x:si>
  <x:si>
    <x:t xml:space="preserve">A corrigir — o link aponta para lugar errado. Caso de A09 e A10: o endereço</x:t>
  </x:si>
  <x:si>
    <x:t xml:space="preserve">   registrado é o de EDIÇÃO do Google Forms (/edit#responses), que não abre para</x:t>
  </x:si>
  <x:si>
    <x:t xml:space="preserve">   terceiros. Publicar o modelo do formulário e, à parte, os resultados anonimizados.</x:t>
  </x:si>
  <x:si>
    <x:t xml:space="preserve">Coluna 'Tipo (enum)'</x:t>
  </x:si>
  <x:si>
    <x:t xml:space="preserve">Usa exatamente os valores do enum tipo_documento definido na seção 3 do</x:t>
  </x:si>
  <x:si>
    <x:t xml:space="preserve">documento de arquitetura de banco. Não inventar valor novo: se um item não couber</x:t>
  </x:si>
  <x:si>
    <x:t xml:space="preserve">em nenhum, use 'outro' e descreva em Observações.</x:t>
  </x:si>
  <x:si>
    <x:t xml:space="preserve">Itens críticos</x:t>
  </x:si>
  <x:si>
    <x:t xml:space="preserve">E01 Termos de consentimento — sem eles a tabela 'consentimento' fica vazia e o gate</x:t>
  </x:si>
  <x:si>
    <x:t xml:space="preserve">   de CI barra a publicação de qualquer áudio de entrevista. É bloqueador legal.</x:t>
  </x:si>
  <x:si>
    <x:t xml:space="preserve">E02 Manual de marcas — define proporção e ordem dos créditos de fomento no rodapé</x:t>
  </x:si>
  <x:si>
    <x:t xml:space="preserve">   e nas capas dos PDFs. Causa recorrente de ressalva em prestação de contas.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</x:si>
</x:sst>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dd/mm/yyyy"/>
    <x:numFmt numFmtId="166" formatCode="General"/>
  </x:numFmts>
  <x:fonts count="14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name val="Arial"/>
    </x:font>
    <x:font>
      <x:sz val="9"/>
      <x:name val="Courier New"/>
    </x:font>
    <x:font>
      <x:b/>
      <x:sz val="13"/>
      <x:color rgb="FF12301F"/>
      <x:name val="Arial"/>
    </x:font>
    <x:font>
      <x:i/>
      <x:sz val="9"/>
      <x:name val="Arial"/>
    </x:font>
    <x:font>
      <x:b/>
      <x:sz val="10"/>
      <x:name val="Arial"/>
    </x:font>
    <x:font>
      <x:b/>
      <x:sz val="11"/>
      <x:name val="Arial"/>
    </x:font>
    <x:font>
      <x:b/>
      <x:sz val="9"/>
      <x:name val="Arial"/>
    </x:font>
    <x:font>
      <x:b/>
      <x:sz val="11"/>
      <x:color rgb="FF12301F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01F"/>
      </x:patternFill>
    </x:fill>
    <x:fill>
      <x:patternFill patternType="solid">
        <x:fgColor rgb="FFFFFF00"/>
      </x:patternFill>
    </x:fill>
  </x:fills>
  <x:borders count="2">
    <x:border diagonalUp="0" diagonalDown="0"/>
    <x:border diagonalUp="0" diagonalDown="0">
      <x:left style="thin">
        <x:color rgb="FFD3D0C6"/>
      </x:left>
      <x:right style="thin">
        <x:color rgb="FFD3D0C6"/>
      </x:right>
      <x:top style="thin">
        <x:color rgb="FFD3D0C6"/>
      </x:top>
      <x:bottom style="thin">
        <x:color rgb="FFD3D0C6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7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0" applyAlignment="1">
      <x:alignment horizontal="general" vertical="center" wrapText="1"/>
    </x:xf>
    <x:xf numFmtId="164" fontId="5" fillId="0" borderId="1" xfId="0" applyFont="1" applyBorder="1" applyAlignment="1">
      <x:alignment horizontal="general" vertical="top" wrapText="0"/>
    </x:xf>
    <x:xf numFmtId="164" fontId="5" fillId="0" borderId="1" xfId="0" applyFont="1" applyBorder="1" applyAlignment="1">
      <x:alignment horizontal="general" vertical="top" wrapText="1"/>
    </x:xf>
    <x:xf numFmtId="164" fontId="5" fillId="3" borderId="1" xfId="0" applyFont="1" applyBorder="1" applyAlignment="1">
      <x:alignment horizontal="general" vertical="top" wrapText="0"/>
    </x:xf>
    <x:xf numFmtId="165" fontId="5" fillId="3" borderId="1" xfId="0" applyFont="1" applyBorder="1" applyAlignment="1">
      <x:alignment horizontal="general" vertical="top" wrapText="0"/>
    </x:xf>
    <x:xf numFmtId="164" fontId="5" fillId="3" borderId="1" xfId="0" applyFont="1" applyBorder="1" applyAlignment="1">
      <x:alignment horizontal="general" vertical="top" wrapText="1"/>
    </x:xf>
    <x:xf numFmtId="164" fontId="6" fillId="3" borderId="1" xfId="0" applyFont="1" applyBorder="1" applyAlignment="1">
      <x:alignment horizontal="general" vertical="top" wrapText="0"/>
    </x:xf>
    <x:xf numFmtId="164" fontId="7" fillId="0" borderId="0" xfId="0" applyFont="1" applyBorder="0" applyAlignment="0">
      <x:alignment horizontal="general" vertical="bottom" wrapText="0"/>
    </x:xf>
    <x:xf numFmtId="164" fontId="8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6" fontId="9" fillId="0" borderId="0" xfId="0" applyFont="1" applyBorder="0" applyAlignment="1">
      <x:alignment horizontal="center" vertical="bottom" wrapText="0"/>
    </x:xf>
    <x:xf numFmtId="164" fontId="10" fillId="0" borderId="0" xfId="0" applyFont="1" applyBorder="0" applyAlignment="0">
      <x:alignment horizontal="general" vertical="bottom" wrapText="0"/>
    </x:xf>
    <x:xf numFmtId="164" fontId="11" fillId="0" borderId="0" xfId="0" applyFont="1" applyBorder="0" applyAlignment="1">
      <x:alignment horizontal="center" vertical="bottom" wrapText="0"/>
    </x:xf>
    <x:xf numFmtId="166" fontId="5" fillId="0" borderId="0" xfId="0" applyFont="1" applyBorder="0" applyAlignment="1">
      <x:alignment horizontal="center" vertical="bottom" wrapText="0"/>
    </x:xf>
    <x:xf numFmtId="164" fontId="12" fillId="0" borderId="0" xfId="0" applyFont="1" applyBorder="0" applyAlignment="0">
      <x:alignment horizontal="general" vertical="bottom" wrapText="0"/>
    </x:xf>
    <x:xf numFmtId="164" fontId="13" fillId="0" borderId="0" xfId="0" applyFont="1" applyBorder="0" applyAlignment="0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4">
    <x:dxf>
      <x:fill>
        <x:patternFill>
          <x:bgColor rgb="FF12301F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FFFF00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D3D0C6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12301F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464bbbf00b485b" /><Relationship Type="http://schemas.openxmlformats.org/officeDocument/2006/relationships/theme" Target="/xl/theme/theme1.xml" Id="R1765e729608648a0" /><Relationship Type="http://schemas.openxmlformats.org/officeDocument/2006/relationships/sharedStrings" Target="/xl/sharedStrings.xml" Id="R72efc581516e4e33" /><Relationship Type="http://schemas.openxmlformats.org/officeDocument/2006/relationships/worksheet" Target="/xl/worksheets/sheet1.xml" Id="R9cff5a449d9d4eb3" /><Relationship Type="http://schemas.openxmlformats.org/officeDocument/2006/relationships/worksheet" Target="/xl/worksheets/sheet2.xml" Id="Rfed0e61c530642db" /><Relationship Type="http://schemas.openxmlformats.org/officeDocument/2006/relationships/worksheet" Target="/xl/worksheets/sheet3.xml" Id="Rfc972bb3f96a4cf2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2" ySplit="1" topLeftCell="C2" activePane="bottomRight" state="frozen"/>
    </x:sheetView>
  </x:sheetViews>
  <x:sheetFormatPr defaultColWidth="8.6796875" defaultRowHeight="15"/>
  <x:cols>
    <x:col min="1" max="1" width="7" hidden="0" customWidth="1"/>
    <x:col min="2" max="2" width="22" hidden="0" customWidth="1"/>
    <x:col min="3" max="3" width="46" hidden="0" customWidth="1"/>
    <x:col min="4" max="4" width="24" hidden="0" customWidth="1"/>
    <x:col min="5" max="5" width="17" hidden="0" customWidth="1"/>
    <x:col min="6" max="6" width="14" hidden="0" customWidth="1"/>
    <x:col min="7" max="7" width="15" hidden="0" customWidth="1"/>
    <x:col min="8" max="8" width="46" hidden="0" customWidth="1"/>
    <x:col min="9" max="9" width="38" hidden="0" customWidth="1"/>
    <x:col min="10" max="10" width="18" hidden="0" customWidth="1"/>
    <x:col min="11" max="12" width="12" hidden="0" customWidth="1"/>
    <x:col min="13" max="13" width="40" hidden="0" customWidth="1"/>
    <x:col min="14" max="14" width="22" hidden="0" customWidth="1"/>
    <x:col min="15" max="15" width="40" hidden="0" customWidth="1"/>
  </x:cols>
  <x:sheetData>
    <x:row r="1" ht="30" hidden="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ht="35.04999923706055" hidden="0">
      <x:c r="A2" s="2" t="s">
        <x:v>16</x:v>
      </x:c>
      <x:c r="B2" s="2" t="s">
        <x:v>17</x:v>
      </x:c>
      <x:c r="C2" s="3" t="s">
        <x:v>18</x:v>
      </x:c>
      <x:c r="D2" s="2" t="s">
        <x:v>19</x:v>
      </x:c>
      <x:c r="E2" s="2" t="s">
        <x:v>20</x:v>
      </x:c>
      <x:c r="F2" s="2" t="s">
        <x:v>21</x:v>
      </x:c>
      <x:c r="G2" s="2" t="s">
        <x:v>22</x:v>
      </x:c>
      <x:c r="H2" s="3" t="s">
        <x:v>23</x:v>
      </x:c>
      <x:c r="I2" s="2" t="s">
        <x:v>24</x:v>
      </x:c>
      <x:c r="J2" s="4"/>
      <x:c r="K2" s="5"/>
      <x:c r="L2" s="4"/>
      <x:c r="M2" s="6"/>
      <x:c r="N2" s="7"/>
      <x:c r="O2" s="6"/>
      <x:c r="P2" s="6" t="s">
        <x:v>25</x:v>
      </x:c>
    </x:row>
    <x:row r="3" ht="35.04999923706055" hidden="0">
      <x:c r="A3" s="2" t="s">
        <x:v>26</x:v>
      </x:c>
      <x:c r="B3" s="2" t="s">
        <x:v>17</x:v>
      </x:c>
      <x:c r="C3" s="3" t="s">
        <x:v>27</x:v>
      </x:c>
      <x:c r="D3" s="2" t="s">
        <x:v>28</x:v>
      </x:c>
      <x:c r="E3" s="2" t="s">
        <x:v>20</x:v>
      </x:c>
      <x:c r="F3" s="2" t="s">
        <x:v>21</x:v>
      </x:c>
      <x:c r="G3" s="2" t="s">
        <x:v>29</x:v>
      </x:c>
      <x:c r="H3" s="3" t="s">
        <x:v>30</x:v>
      </x:c>
      <x:c r="I3" s="2" t="s">
        <x:v>31</x:v>
      </x:c>
      <x:c r="J3" s="4"/>
      <x:c r="K3" s="5"/>
      <x:c r="L3" s="4"/>
      <x:c r="M3" s="6"/>
      <x:c r="N3" s="7" t="s">
        <x:v>32</x:v>
      </x:c>
      <x:c r="O3" s="6" t="s">
        <x:v>33</x:v>
      </x:c>
      <x:c r="P3" s="6" t="s">
        <x:v>25</x:v>
      </x:c>
    </x:row>
    <x:row r="4" ht="35.04999923706055" hidden="0">
      <x:c r="A4" s="2" t="s">
        <x:v>34</x:v>
      </x:c>
      <x:c r="B4" s="2" t="s">
        <x:v>17</x:v>
      </x:c>
      <x:c r="C4" s="3" t="s">
        <x:v>35</x:v>
      </x:c>
      <x:c r="D4" s="2" t="s">
        <x:v>28</x:v>
      </x:c>
      <x:c r="E4" s="2" t="s">
        <x:v>20</x:v>
      </x:c>
      <x:c r="F4" s="2" t="s">
        <x:v>21</x:v>
      </x:c>
      <x:c r="G4" s="2" t="s">
        <x:v>29</x:v>
      </x:c>
      <x:c r="H4" s="3" t="s">
        <x:v>30</x:v>
      </x:c>
      <x:c r="I4" s="2" t="s">
        <x:v>36</x:v>
      </x:c>
      <x:c r="J4" s="4"/>
      <x:c r="K4" s="5"/>
      <x:c r="L4" s="4"/>
      <x:c r="M4" s="6"/>
      <x:c r="N4" s="7" t="s">
        <x:v>37</x:v>
      </x:c>
      <x:c r="O4" s="6" t="s">
        <x:v>38</x:v>
      </x:c>
      <x:c r="P4" s="6" t="s">
        <x:v>25</x:v>
      </x:c>
    </x:row>
    <x:row r="5" ht="35.04999923706055" hidden="0">
      <x:c r="A5" s="2" t="s">
        <x:v>39</x:v>
      </x:c>
      <x:c r="B5" s="2" t="s">
        <x:v>17</x:v>
      </x:c>
      <x:c r="C5" s="3" t="s">
        <x:v>40</x:v>
      </x:c>
      <x:c r="D5" s="2" t="s">
        <x:v>28</x:v>
      </x:c>
      <x:c r="E5" s="2" t="s">
        <x:v>20</x:v>
      </x:c>
      <x:c r="F5" s="2" t="s">
        <x:v>21</x:v>
      </x:c>
      <x:c r="G5" s="2" t="s">
        <x:v>29</x:v>
      </x:c>
      <x:c r="H5" s="3" t="s">
        <x:v>30</x:v>
      </x:c>
      <x:c r="I5" s="2" t="s">
        <x:v>41</x:v>
      </x:c>
      <x:c r="J5" s="4"/>
      <x:c r="K5" s="5"/>
      <x:c r="L5" s="4"/>
      <x:c r="M5" s="6"/>
      <x:c r="N5" s="7" t="s">
        <x:v>42</x:v>
      </x:c>
      <x:c r="O5" s="6" t="s">
        <x:v>43</x:v>
      </x:c>
      <x:c r="P5" s="6" t="s">
        <x:v>25</x:v>
      </x:c>
    </x:row>
    <x:row r="6" ht="15" hidden="0">
      <x:c r="A6" s="2" t="s">
        <x:v>44</x:v>
      </x:c>
      <x:c r="B6" s="2" t="s">
        <x:v>17</x:v>
      </x:c>
      <x:c r="C6" s="3" t="s">
        <x:v>45</x:v>
      </x:c>
      <x:c r="D6" s="2" t="s">
        <x:v>46</x:v>
      </x:c>
      <x:c r="E6" s="2" t="s">
        <x:v>20</x:v>
      </x:c>
      <x:c r="F6" s="2" t="s">
        <x:v>47</x:v>
      </x:c>
      <x:c r="G6" s="2"/>
      <x:c r="H6" s="3"/>
      <x:c r="I6" s="2" t="s">
        <x:v>48</x:v>
      </x:c>
      <x:c r="J6" s="4"/>
      <x:c r="K6" s="5"/>
      <x:c r="L6" s="4"/>
      <x:c r="M6" s="6"/>
      <x:c r="N6" s="7"/>
      <x:c r="O6" s="6" t="s">
        <x:v>49</x:v>
      </x:c>
      <x:c r="P6" s="6" t="s">
        <x:v>25</x:v>
      </x:c>
    </x:row>
    <x:row r="7" ht="15" hidden="0">
      <x:c r="A7" s="2" t="s">
        <x:v>50</x:v>
      </x:c>
      <x:c r="B7" s="2" t="s">
        <x:v>17</x:v>
      </x:c>
      <x:c r="C7" s="3" t="s">
        <x:v>51</x:v>
      </x:c>
      <x:c r="D7" s="2" t="s">
        <x:v>46</x:v>
      </x:c>
      <x:c r="E7" s="2" t="s">
        <x:v>20</x:v>
      </x:c>
      <x:c r="F7" s="2" t="s">
        <x:v>47</x:v>
      </x:c>
      <x:c r="G7" s="2"/>
      <x:c r="H7" s="3"/>
      <x:c r="I7" s="2" t="s">
        <x:v>52</x:v>
      </x:c>
      <x:c r="J7" s="4"/>
      <x:c r="K7" s="5"/>
      <x:c r="L7" s="4"/>
      <x:c r="M7" s="6"/>
      <x:c r="N7" s="7"/>
      <x:c r="O7" s="6" t="s">
        <x:v>53</x:v>
      </x:c>
      <x:c r="P7" s="6" t="s">
        <x:v>25</x:v>
      </x:c>
    </x:row>
    <x:row r="8" ht="15" hidden="0">
      <x:c r="A8" s="2" t="s">
        <x:v>54</x:v>
      </x:c>
      <x:c r="B8" s="2" t="s">
        <x:v>17</x:v>
      </x:c>
      <x:c r="C8" s="3" t="s">
        <x:v>55</x:v>
      </x:c>
      <x:c r="D8" s="2" t="s">
        <x:v>46</x:v>
      </x:c>
      <x:c r="E8" s="2" t="s">
        <x:v>20</x:v>
      </x:c>
      <x:c r="F8" s="2" t="s">
        <x:v>47</x:v>
      </x:c>
      <x:c r="G8" s="2"/>
      <x:c r="H8" s="3"/>
      <x:c r="I8" s="2" t="s">
        <x:v>56</x:v>
      </x:c>
      <x:c r="J8" s="4"/>
      <x:c r="K8" s="5"/>
      <x:c r="L8" s="4"/>
      <x:c r="M8" s="6"/>
      <x:c r="N8" s="7"/>
      <x:c r="O8" s="6"/>
      <x:c r="P8" s="6" t="s">
        <x:v>25</x:v>
      </x:c>
    </x:row>
    <x:row r="9" ht="15" hidden="0">
      <x:c r="A9" s="2" t="s">
        <x:v>57</x:v>
      </x:c>
      <x:c r="B9" s="2" t="s">
        <x:v>17</x:v>
      </x:c>
      <x:c r="C9" s="3" t="s">
        <x:v>58</x:v>
      </x:c>
      <x:c r="D9" s="2" t="s">
        <x:v>46</x:v>
      </x:c>
      <x:c r="E9" s="2" t="s">
        <x:v>20</x:v>
      </x:c>
      <x:c r="F9" s="2" t="s">
        <x:v>47</x:v>
      </x:c>
      <x:c r="G9" s="2"/>
      <x:c r="H9" s="3"/>
      <x:c r="I9" s="2" t="s">
        <x:v>59</x:v>
      </x:c>
      <x:c r="J9" s="4"/>
      <x:c r="K9" s="5"/>
      <x:c r="L9" s="4"/>
      <x:c r="M9" s="6"/>
      <x:c r="N9" s="7"/>
      <x:c r="O9" s="6"/>
      <x:c r="P9" s="6" t="s">
        <x:v>25</x:v>
      </x:c>
    </x:row>
    <x:row r="10" ht="23.850000381469727" hidden="0">
      <x:c r="A10" s="2" t="s">
        <x:v>60</x:v>
      </x:c>
      <x:c r="B10" s="2" t="s">
        <x:v>17</x:v>
      </x:c>
      <x:c r="C10" s="3" t="str">
        <x:v>Respostas do formulário de funcionamento</x:v>
      </x:c>
      <x:c r="D10" s="2" t="s">
        <x:v>61</x:v>
      </x:c>
      <x:c r="E10" s="2" t="s">
        <x:v>20</x:v>
      </x:c>
      <x:c r="F10" s="2" t="s">
        <x:v>62</x:v>
      </x:c>
      <x:c r="G10" s="2" t="s">
        <x:v>63</x:v>
      </x:c>
      <x:c r="H10" s="3" t="s">
        <x:v>64</x:v>
      </x:c>
      <x:c r="I10" s="2" t="s">
        <x:v>65</x:v>
      </x:c>
      <x:c r="J10" s="4"/>
      <x:c r="K10" s="5"/>
      <x:c r="L10" s="4"/>
      <x:c r="M10" s="6"/>
      <x:c r="N10" s="7"/>
      <x:c r="O10" s="6" t="s">
        <x:v>66</x:v>
      </x:c>
      <x:c r="P10" s="6" t="s">
        <x:v>25</x:v>
      </x:c>
    </x:row>
    <x:row r="11" ht="23.850000381469727" hidden="0">
      <x:c r="A11" s="2" t="s">
        <x:v>67</x:v>
      </x:c>
      <x:c r="B11" s="2" t="s">
        <x:v>17</x:v>
      </x:c>
      <x:c r="C11" s="3" t="str">
        <x:v>Respostas do formulário de visitantes</x:v>
      </x:c>
      <x:c r="D11" s="2" t="s">
        <x:v>61</x:v>
      </x:c>
      <x:c r="E11" s="2" t="s">
        <x:v>20</x:v>
      </x:c>
      <x:c r="F11" s="2" t="s">
        <x:v>62</x:v>
      </x:c>
      <x:c r="G11" s="2" t="s">
        <x:v>63</x:v>
      </x:c>
      <x:c r="H11" s="3" t="s">
        <x:v>64</x:v>
      </x:c>
      <x:c r="I11" s="2" t="s">
        <x:v>68</x:v>
      </x:c>
      <x:c r="J11" s="4"/>
      <x:c r="K11" s="5"/>
      <x:c r="L11" s="4"/>
      <x:c r="M11" s="6"/>
      <x:c r="N11" s="7"/>
      <x:c r="O11" s="6" t="s">
        <x:v>69</x:v>
      </x:c>
      <x:c r="P11" s="6" t="s">
        <x:v>25</x:v>
      </x:c>
    </x:row>
    <x:row r="12" ht="23.850000381469727" hidden="0">
      <x:c r="A12" s="2" t="s">
        <x:v>70</x:v>
      </x:c>
      <x:c r="B12" s="2" t="s">
        <x:v>71</x:v>
      </x:c>
      <x:c r="C12" s="3" t="s">
        <x:v>72</x:v>
      </x:c>
      <x:c r="D12" s="2" t="s">
        <x:v>73</x:v>
      </x:c>
      <x:c r="E12" s="2" t="s">
        <x:v>20</x:v>
      </x:c>
      <x:c r="F12" s="2" t="s">
        <x:v>21</x:v>
      </x:c>
      <x:c r="G12" s="2" t="s">
        <x:v>74</x:v>
      </x:c>
      <x:c r="H12" s="3" t="s">
        <x:v>75</x:v>
      </x:c>
      <x:c r="I12" s="2" t="s">
        <x:v>76</x:v>
      </x:c>
      <x:c r="J12" s="4"/>
      <x:c r="K12" s="5"/>
      <x:c r="L12" s="4"/>
      <x:c r="M12" s="6"/>
      <x:c r="N12" s="7"/>
      <x:c r="O12" s="6"/>
      <x:c r="P12" s="6" t="s">
        <x:v>25</x:v>
      </x:c>
    </x:row>
    <x:row r="13" ht="23.850000381469727" hidden="0">
      <x:c r="A13" s="2" t="s">
        <x:v>77</x:v>
      </x:c>
      <x:c r="B13" s="2" t="s">
        <x:v>71</x:v>
      </x:c>
      <x:c r="C13" s="3" t="s">
        <x:v>78</x:v>
      </x:c>
      <x:c r="D13" s="2" t="s">
        <x:v>79</x:v>
      </x:c>
      <x:c r="E13" s="2" t="s">
        <x:v>20</x:v>
      </x:c>
      <x:c r="F13" s="2" t="s">
        <x:v>21</x:v>
      </x:c>
      <x:c r="G13" s="2" t="s">
        <x:v>74</x:v>
      </x:c>
      <x:c r="H13" s="3" t="s">
        <x:v>80</x:v>
      </x:c>
      <x:c r="I13" s="2" t="s">
        <x:v>81</x:v>
      </x:c>
      <x:c r="J13" s="4"/>
      <x:c r="K13" s="5"/>
      <x:c r="L13" s="4"/>
      <x:c r="M13" s="6"/>
      <x:c r="N13" s="7"/>
      <x:c r="O13" s="6"/>
      <x:c r="P13" s="6" t="s">
        <x:v>25</x:v>
      </x:c>
    </x:row>
    <x:row r="14" ht="23.850000381469727" hidden="0">
      <x:c r="A14" s="2" t="s">
        <x:v>82</x:v>
      </x:c>
      <x:c r="B14" s="2" t="s">
        <x:v>71</x:v>
      </x:c>
      <x:c r="C14" s="3" t="s">
        <x:v>83</x:v>
      </x:c>
      <x:c r="D14" s="2" t="s">
        <x:v>79</x:v>
      </x:c>
      <x:c r="E14" s="2" t="s">
        <x:v>20</x:v>
      </x:c>
      <x:c r="F14" s="2" t="s">
        <x:v>21</x:v>
      </x:c>
      <x:c r="G14" s="2" t="s">
        <x:v>74</x:v>
      </x:c>
      <x:c r="H14" s="3" t="s">
        <x:v>80</x:v>
      </x:c>
      <x:c r="I14" s="2" t="s">
        <x:v>84</x:v>
      </x:c>
      <x:c r="J14" s="4"/>
      <x:c r="K14" s="5"/>
      <x:c r="L14" s="4"/>
      <x:c r="M14" s="6"/>
      <x:c r="N14" s="7"/>
      <x:c r="O14" s="6"/>
      <x:c r="P14" s="6" t="s">
        <x:v>25</x:v>
      </x:c>
    </x:row>
    <x:row r="15" ht="23.850000381469727" hidden="0">
      <x:c r="A15" s="2" t="s">
        <x:v>85</x:v>
      </x:c>
      <x:c r="B15" s="2" t="s">
        <x:v>71</x:v>
      </x:c>
      <x:c r="C15" s="3" t="s">
        <x:v>86</x:v>
      </x:c>
      <x:c r="D15" s="2" t="s">
        <x:v>79</x:v>
      </x:c>
      <x:c r="E15" s="2" t="s">
        <x:v>20</x:v>
      </x:c>
      <x:c r="F15" s="2" t="s">
        <x:v>87</x:v>
      </x:c>
      <x:c r="G15" s="2" t="s">
        <x:v>74</x:v>
      </x:c>
      <x:c r="H15" s="3" t="s">
        <x:v>80</x:v>
      </x:c>
      <x:c r="I15" s="2" t="s">
        <x:v>88</x:v>
      </x:c>
      <x:c r="J15" s="4"/>
      <x:c r="K15" s="5"/>
      <x:c r="L15" s="4"/>
      <x:c r="M15" s="6"/>
      <x:c r="N15" s="7"/>
      <x:c r="O15" s="6"/>
      <x:c r="P15" s="6" t="s">
        <x:v>25</x:v>
      </x:c>
    </x:row>
    <x:row r="16" ht="23.850000381469727" hidden="0">
      <x:c r="A16" s="2" t="s">
        <x:v>89</x:v>
      </x:c>
      <x:c r="B16" s="2" t="s">
        <x:v>71</x:v>
      </x:c>
      <x:c r="C16" s="3" t="s">
        <x:v>90</x:v>
      </x:c>
      <x:c r="D16" s="2" t="s">
        <x:v>79</x:v>
      </x:c>
      <x:c r="E16" s="2" t="s">
        <x:v>20</x:v>
      </x:c>
      <x:c r="F16" s="2" t="s">
        <x:v>87</x:v>
      </x:c>
      <x:c r="G16" s="2" t="s">
        <x:v>74</x:v>
      </x:c>
      <x:c r="H16" s="3" t="s">
        <x:v>80</x:v>
      </x:c>
      <x:c r="I16" s="2" t="s">
        <x:v>91</x:v>
      </x:c>
      <x:c r="J16" s="4"/>
      <x:c r="K16" s="5"/>
      <x:c r="L16" s="4"/>
      <x:c r="M16" s="6"/>
      <x:c r="N16" s="7"/>
      <x:c r="O16" s="6"/>
      <x:c r="P16" s="6" t="s">
        <x:v>25</x:v>
      </x:c>
    </x:row>
    <x:row r="17" ht="23.850000381469727" hidden="0">
      <x:c r="A17" s="2" t="s">
        <x:v>92</x:v>
      </x:c>
      <x:c r="B17" s="2" t="s">
        <x:v>71</x:v>
      </x:c>
      <x:c r="C17" s="3" t="s">
        <x:v>93</x:v>
      </x:c>
      <x:c r="D17" s="2" t="s">
        <x:v>79</x:v>
      </x:c>
      <x:c r="E17" s="2" t="s">
        <x:v>20</x:v>
      </x:c>
      <x:c r="F17" s="2" t="s">
        <x:v>87</x:v>
      </x:c>
      <x:c r="G17" s="2" t="s">
        <x:v>74</x:v>
      </x:c>
      <x:c r="H17" s="3" t="s">
        <x:v>80</x:v>
      </x:c>
      <x:c r="I17" s="2" t="s">
        <x:v>94</x:v>
      </x:c>
      <x:c r="J17" s="4"/>
      <x:c r="K17" s="5"/>
      <x:c r="L17" s="4"/>
      <x:c r="M17" s="6"/>
      <x:c r="N17" s="7"/>
      <x:c r="O17" s="6" t="s">
        <x:v>95</x:v>
      </x:c>
      <x:c r="P17" s="6" t="s">
        <x:v>25</x:v>
      </x:c>
    </x:row>
    <x:row r="18" ht="15" hidden="0">
      <x:c r="A18" s="2" t="s">
        <x:v>96</x:v>
      </x:c>
      <x:c r="B18" s="2" t="s">
        <x:v>71</x:v>
      </x:c>
      <x:c r="C18" s="3" t="s">
        <x:v>97</x:v>
      </x:c>
      <x:c r="D18" s="2" t="s">
        <x:v>79</x:v>
      </x:c>
      <x:c r="E18" s="2" t="s">
        <x:v>20</x:v>
      </x:c>
      <x:c r="F18" s="2" t="s">
        <x:v>87</x:v>
      </x:c>
      <x:c r="G18" s="2"/>
      <x:c r="H18" s="3"/>
      <x:c r="I18" s="2" t="s">
        <x:v>98</x:v>
      </x:c>
      <x:c r="J18" s="4"/>
      <x:c r="K18" s="5"/>
      <x:c r="L18" s="4"/>
      <x:c r="M18" s="6"/>
      <x:c r="N18" s="7"/>
      <x:c r="O18" s="6" t="s">
        <x:v>99</x:v>
      </x:c>
      <x:c r="P18" s="6" t="s">
        <x:v>25</x:v>
      </x:c>
    </x:row>
    <x:row r="19" ht="15" hidden="0">
      <x:c r="A19" s="2" t="s">
        <x:v>100</x:v>
      </x:c>
      <x:c r="B19" s="2" t="s">
        <x:v>71</x:v>
      </x:c>
      <x:c r="C19" s="3" t="s">
        <x:v>101</x:v>
      </x:c>
      <x:c r="D19" s="2" t="s">
        <x:v>79</x:v>
      </x:c>
      <x:c r="E19" s="2" t="s">
        <x:v>20</x:v>
      </x:c>
      <x:c r="F19" s="2" t="s">
        <x:v>87</x:v>
      </x:c>
      <x:c r="G19" s="2"/>
      <x:c r="H19" s="3"/>
      <x:c r="I19" s="2" t="s">
        <x:v>102</x:v>
      </x:c>
      <x:c r="J19" s="4"/>
      <x:c r="K19" s="5"/>
      <x:c r="L19" s="4"/>
      <x:c r="M19" s="6"/>
      <x:c r="N19" s="7"/>
      <x:c r="O19" s="6"/>
      <x:c r="P19" s="6" t="s">
        <x:v>25</x:v>
      </x:c>
    </x:row>
    <x:row r="20" ht="15" hidden="0">
      <x:c r="A20" s="2" t="s">
        <x:v>103</x:v>
      </x:c>
      <x:c r="B20" s="2" t="s">
        <x:v>71</x:v>
      </x:c>
      <x:c r="C20" s="3" t="s">
        <x:v>104</x:v>
      </x:c>
      <x:c r="D20" s="2" t="s">
        <x:v>105</x:v>
      </x:c>
      <x:c r="E20" s="2" t="s">
        <x:v>20</x:v>
      </x:c>
      <x:c r="F20" s="2" t="s">
        <x:v>47</x:v>
      </x:c>
      <x:c r="G20" s="2"/>
      <x:c r="H20" s="3"/>
      <x:c r="I20" s="2" t="s">
        <x:v>106</x:v>
      </x:c>
      <x:c r="J20" s="4"/>
      <x:c r="K20" s="5"/>
      <x:c r="L20" s="4"/>
      <x:c r="M20" s="6"/>
      <x:c r="N20" s="7"/>
      <x:c r="O20" s="6"/>
      <x:c r="P20" s="6" t="s">
        <x:v>25</x:v>
      </x:c>
    </x:row>
    <x:row r="21" ht="15" hidden="0">
      <x:c r="A21" s="2" t="s">
        <x:v>107</x:v>
      </x:c>
      <x:c r="B21" s="2" t="s">
        <x:v>71</x:v>
      </x:c>
      <x:c r="C21" s="3" t="s">
        <x:v>108</x:v>
      </x:c>
      <x:c r="D21" s="2" t="s">
        <x:v>105</x:v>
      </x:c>
      <x:c r="E21" s="2" t="s">
        <x:v>20</x:v>
      </x:c>
      <x:c r="F21" s="2" t="s">
        <x:v>47</x:v>
      </x:c>
      <x:c r="G21" s="2"/>
      <x:c r="H21" s="3"/>
      <x:c r="I21" s="2" t="s">
        <x:v>109</x:v>
      </x:c>
      <x:c r="J21" s="4"/>
      <x:c r="K21" s="5"/>
      <x:c r="L21" s="4"/>
      <x:c r="M21" s="6"/>
      <x:c r="N21" s="7"/>
      <x:c r="O21" s="6"/>
      <x:c r="P21" s="6" t="s">
        <x:v>25</x:v>
      </x:c>
    </x:row>
    <x:row r="22" ht="15" hidden="0">
      <x:c r="A22" s="2" t="s">
        <x:v>110</x:v>
      </x:c>
      <x:c r="B22" s="2" t="s">
        <x:v>71</x:v>
      </x:c>
      <x:c r="C22" s="3" t="s">
        <x:v>111</x:v>
      </x:c>
      <x:c r="D22" s="2" t="s">
        <x:v>105</x:v>
      </x:c>
      <x:c r="E22" s="2" t="s">
        <x:v>20</x:v>
      </x:c>
      <x:c r="F22" s="2" t="s">
        <x:v>47</x:v>
      </x:c>
      <x:c r="G22" s="2"/>
      <x:c r="H22" s="3"/>
      <x:c r="I22" s="2" t="s">
        <x:v>112</x:v>
      </x:c>
      <x:c r="J22" s="4"/>
      <x:c r="K22" s="5"/>
      <x:c r="L22" s="4"/>
      <x:c r="M22" s="6"/>
      <x:c r="N22" s="7"/>
      <x:c r="O22" s="6"/>
      <x:c r="P22" s="6" t="s">
        <x:v>25</x:v>
      </x:c>
    </x:row>
    <x:row r="23" ht="15" hidden="0">
      <x:c r="A23" s="2" t="s">
        <x:v>113</x:v>
      </x:c>
      <x:c r="B23" s="2" t="s">
        <x:v>71</x:v>
      </x:c>
      <x:c r="C23" s="3" t="s">
        <x:v>114</x:v>
      </x:c>
      <x:c r="D23" s="2" t="s">
        <x:v>105</x:v>
      </x:c>
      <x:c r="E23" s="2" t="s">
        <x:v>20</x:v>
      </x:c>
      <x:c r="F23" s="2" t="s">
        <x:v>47</x:v>
      </x:c>
      <x:c r="G23" s="2"/>
      <x:c r="H23" s="3"/>
      <x:c r="I23" s="2" t="s">
        <x:v>115</x:v>
      </x:c>
      <x:c r="J23" s="4"/>
      <x:c r="K23" s="5"/>
      <x:c r="L23" s="4"/>
      <x:c r="M23" s="6"/>
      <x:c r="N23" s="7"/>
      <x:c r="O23" s="6"/>
      <x:c r="P23" s="6" t="s">
        <x:v>25</x:v>
      </x:c>
    </x:row>
    <x:row r="24" ht="15" hidden="0">
      <x:c r="A24" s="2" t="s">
        <x:v>116</x:v>
      </x:c>
      <x:c r="B24" s="2" t="s">
        <x:v>117</x:v>
      </x:c>
      <x:c r="C24" s="3" t="s">
        <x:v>118</x:v>
      </x:c>
      <x:c r="D24" s="2" t="s">
        <x:v>119</x:v>
      </x:c>
      <x:c r="E24" s="2" t="s">
        <x:v>20</x:v>
      </x:c>
      <x:c r="F24" s="2" t="s">
        <x:v>21</x:v>
      </x:c>
      <x:c r="G24" s="2" t="s">
        <x:v>120</x:v>
      </x:c>
      <x:c r="H24" s="3"/>
      <x:c r="I24" s="2" t="s">
        <x:v>121</x:v>
      </x:c>
      <x:c r="J24" s="4"/>
      <x:c r="K24" s="5"/>
      <x:c r="L24" s="4"/>
      <x:c r="M24" s="6"/>
      <x:c r="N24" s="7"/>
      <x:c r="O24" s="6"/>
      <x:c r="P24" s="6" t="s">
        <x:v>25</x:v>
      </x:c>
    </x:row>
    <x:row r="25" ht="15" hidden="0">
      <x:c r="A25" s="2" t="s">
        <x:v>122</x:v>
      </x:c>
      <x:c r="B25" s="2" t="s">
        <x:v>117</x:v>
      </x:c>
      <x:c r="C25" s="3" t="s">
        <x:v>123</x:v>
      </x:c>
      <x:c r="D25" s="2" t="s">
        <x:v>124</x:v>
      </x:c>
      <x:c r="E25" s="2" t="s">
        <x:v>20</x:v>
      </x:c>
      <x:c r="F25" s="2" t="s">
        <x:v>47</x:v>
      </x:c>
      <x:c r="G25" s="2"/>
      <x:c r="H25" s="3"/>
      <x:c r="I25" s="2" t="s">
        <x:v>125</x:v>
      </x:c>
      <x:c r="J25" s="4"/>
      <x:c r="K25" s="5"/>
      <x:c r="L25" s="4"/>
      <x:c r="M25" s="6"/>
      <x:c r="N25" s="7"/>
      <x:c r="O25" s="6"/>
      <x:c r="P25" s="6" t="s">
        <x:v>25</x:v>
      </x:c>
    </x:row>
    <x:row r="26" ht="15" hidden="0">
      <x:c r="A26" s="2" t="s">
        <x:v>126</x:v>
      </x:c>
      <x:c r="B26" s="2" t="s">
        <x:v>117</x:v>
      </x:c>
      <x:c r="C26" s="3" t="s">
        <x:v>127</x:v>
      </x:c>
      <x:c r="D26" s="2" t="s">
        <x:v>128</x:v>
      </x:c>
      <x:c r="E26" s="2" t="s">
        <x:v>20</x:v>
      </x:c>
      <x:c r="F26" s="2" t="s">
        <x:v>47</x:v>
      </x:c>
      <x:c r="G26" s="2"/>
      <x:c r="H26" s="3"/>
      <x:c r="I26" s="2" t="s">
        <x:v>129</x:v>
      </x:c>
      <x:c r="J26" s="4"/>
      <x:c r="K26" s="5"/>
      <x:c r="L26" s="4"/>
      <x:c r="M26" s="6"/>
      <x:c r="N26" s="7"/>
      <x:c r="O26" s="6"/>
      <x:c r="P26" s="6" t="s">
        <x:v>25</x:v>
      </x:c>
    </x:row>
    <x:row r="27" ht="15" hidden="0">
      <x:c r="A27" s="2" t="s">
        <x:v>130</x:v>
      </x:c>
      <x:c r="B27" s="2" t="s">
        <x:v>117</x:v>
      </x:c>
      <x:c r="C27" s="3" t="s">
        <x:v>131</x:v>
      </x:c>
      <x:c r="D27" s="2" t="s">
        <x:v>73</x:v>
      </x:c>
      <x:c r="E27" s="2" t="s">
        <x:v>20</x:v>
      </x:c>
      <x:c r="F27" s="2" t="s">
        <x:v>47</x:v>
      </x:c>
      <x:c r="G27" s="2"/>
      <x:c r="H27" s="3"/>
      <x:c r="I27" s="2" t="s">
        <x:v>132</x:v>
      </x:c>
      <x:c r="J27" s="4"/>
      <x:c r="K27" s="5"/>
      <x:c r="L27" s="4"/>
      <x:c r="M27" s="6"/>
      <x:c r="N27" s="7"/>
      <x:c r="O27" s="6"/>
      <x:c r="P27" s="6" t="s">
        <x:v>25</x:v>
      </x:c>
    </x:row>
    <x:row r="28" ht="23.850000381469727" hidden="0">
      <x:c r="A28" s="2" t="s">
        <x:v>133</x:v>
      </x:c>
      <x:c r="B28" s="2" t="s">
        <x:v>134</x:v>
      </x:c>
      <x:c r="C28" s="3" t="s">
        <x:v>135</x:v>
      </x:c>
      <x:c r="D28" s="2" t="s">
        <x:v>136</x:v>
      </x:c>
      <x:c r="E28" s="2" t="s">
        <x:v>137</x:v>
      </x:c>
      <x:c r="F28" s="2" t="s">
        <x:v>21</x:v>
      </x:c>
      <x:c r="G28" s="2" t="s">
        <x:v>74</x:v>
      </x:c>
      <x:c r="H28" s="3" t="s">
        <x:v>138</x:v>
      </x:c>
      <x:c r="I28" s="2" t="s">
        <x:v>139</x:v>
      </x:c>
      <x:c r="J28" s="4"/>
      <x:c r="K28" s="5"/>
      <x:c r="L28" s="4"/>
      <x:c r="M28" s="6"/>
      <x:c r="N28" s="7"/>
      <x:c r="O28" s="6"/>
      <x:c r="P28" s="6" t="s">
        <x:v>140</x:v>
      </x:c>
    </x:row>
    <x:row r="29" ht="15" hidden="0">
      <x:c r="A29" s="2" t="s">
        <x:v>141</x:v>
      </x:c>
      <x:c r="B29" s="2" t="s">
        <x:v>134</x:v>
      </x:c>
      <x:c r="C29" s="3" t="s">
        <x:v>142</x:v>
      </x:c>
      <x:c r="D29" s="2" t="s">
        <x:v>73</x:v>
      </x:c>
      <x:c r="E29" s="2" t="s">
        <x:v>137</x:v>
      </x:c>
      <x:c r="F29" s="2" t="s">
        <x:v>21</x:v>
      </x:c>
      <x:c r="G29" s="2" t="s">
        <x:v>143</x:v>
      </x:c>
      <x:c r="H29" s="3" t="s">
        <x:v>144</x:v>
      </x:c>
      <x:c r="I29" s="2" t="s">
        <x:v>145</x:v>
      </x:c>
      <x:c r="J29" s="4"/>
      <x:c r="K29" s="5"/>
      <x:c r="L29" s="4"/>
      <x:c r="M29" s="6"/>
      <x:c r="N29" s="7"/>
      <x:c r="O29" s="6"/>
      <x:c r="P29" s="6" t="s">
        <x:v>140</x:v>
      </x:c>
    </x:row>
    <x:row r="30" ht="15" hidden="0">
      <x:c r="A30" s="2" t="s">
        <x:v>146</x:v>
      </x:c>
      <x:c r="B30" s="2" t="s">
        <x:v>147</x:v>
      </x:c>
      <x:c r="C30" s="3" t="s">
        <x:v>148</x:v>
      </x:c>
      <x:c r="D30" s="2" t="s">
        <x:v>73</x:v>
      </x:c>
      <x:c r="E30" s="2" t="s">
        <x:v>20</x:v>
      </x:c>
      <x:c r="F30" s="2" t="s">
        <x:v>47</x:v>
      </x:c>
      <x:c r="G30" s="2"/>
      <x:c r="H30" s="3"/>
      <x:c r="I30" s="2" t="s">
        <x:v>149</x:v>
      </x:c>
      <x:c r="J30" s="4"/>
      <x:c r="K30" s="5"/>
      <x:c r="L30" s="4"/>
      <x:c r="M30" s="6"/>
      <x:c r="N30" s="7"/>
      <x:c r="O30" s="6"/>
      <x:c r="P30" s="6" t="s">
        <x:v>25</x:v>
      </x:c>
    </x:row>
    <x:row r="31" ht="15" hidden="0">
      <x:c r="A31" s="2" t="s">
        <x:v>150</x:v>
      </x:c>
      <x:c r="B31" s="2" t="s">
        <x:v>147</x:v>
      </x:c>
      <x:c r="C31" s="3" t="s">
        <x:v>151</x:v>
      </x:c>
      <x:c r="D31" s="2" t="s">
        <x:v>73</x:v>
      </x:c>
      <x:c r="E31" s="2" t="s">
        <x:v>20</x:v>
      </x:c>
      <x:c r="F31" s="2" t="s">
        <x:v>47</x:v>
      </x:c>
      <x:c r="G31" s="2"/>
      <x:c r="H31" s="3"/>
      <x:c r="I31" s="2" t="s">
        <x:v>152</x:v>
      </x:c>
      <x:c r="J31" s="4"/>
      <x:c r="K31" s="5"/>
      <x:c r="L31" s="4"/>
      <x:c r="M31" s="6"/>
      <x:c r="N31" s="7"/>
      <x:c r="O31" s="6"/>
      <x:c r="P31" s="6" t="s">
        <x:v>25</x:v>
      </x:c>
    </x:row>
    <x:row r="32" ht="15" hidden="0">
      <x:c r="A32" s="2" t="s">
        <x:v>153</x:v>
      </x:c>
      <x:c r="B32" s="2" t="s">
        <x:v>71</x:v>
      </x:c>
      <x:c r="C32" s="3" t="s">
        <x:v>154</x:v>
      </x:c>
      <x:c r="D32" s="2" t="s">
        <x:v>79</x:v>
      </x:c>
      <x:c r="E32" s="2" t="s">
        <x:v>137</x:v>
      </x:c>
      <x:c r="F32" s="2" t="s">
        <x:v>21</x:v>
      </x:c>
      <x:c r="G32" s="2" t="s">
        <x:v>120</x:v>
      </x:c>
      <x:c r="H32" s="3"/>
      <x:c r="I32" s="2" t="s">
        <x:v>155</x:v>
      </x:c>
      <x:c r="J32" s="4"/>
      <x:c r="K32" s="5"/>
      <x:c r="L32" s="4"/>
      <x:c r="M32" s="6"/>
      <x:c r="N32" s="7"/>
      <x:c r="O32" s="6" t="s">
        <x:v>156</x:v>
      </x:c>
      <x:c r="P32" s="6" t="s">
        <x:v>157</x:v>
      </x:c>
    </x:row>
    <x:row r="33" ht="15" hidden="0">
      <x:c r="A33" s="2" t="s">
        <x:v>158</x:v>
      </x:c>
      <x:c r="B33" s="2" t="s">
        <x:v>71</x:v>
      </x:c>
      <x:c r="C33" s="3" t="s">
        <x:v>159</x:v>
      </x:c>
      <x:c r="D33" s="2" t="s">
        <x:v>79</x:v>
      </x:c>
      <x:c r="E33" s="2" t="s">
        <x:v>137</x:v>
      </x:c>
      <x:c r="F33" s="2" t="s">
        <x:v>21</x:v>
      </x:c>
      <x:c r="G33" s="2" t="s">
        <x:v>120</x:v>
      </x:c>
      <x:c r="H33" s="3"/>
      <x:c r="I33" s="2" t="s">
        <x:v>160</x:v>
      </x:c>
      <x:c r="J33" s="4"/>
      <x:c r="K33" s="5"/>
      <x:c r="L33" s="4"/>
      <x:c r="M33" s="6"/>
      <x:c r="N33" s="7"/>
      <x:c r="O33" s="6" t="s">
        <x:v>161</x:v>
      </x:c>
      <x:c r="P33" s="6" t="s">
        <x:v>157</x:v>
      </x:c>
    </x:row>
    <x:row r="34" ht="15" hidden="0">
      <x:c r="A34" s="2" t="s">
        <x:v>162</x:v>
      </x:c>
      <x:c r="B34" s="2" t="s">
        <x:v>17</x:v>
      </x:c>
      <x:c r="C34" s="3" t="s">
        <x:v>163</x:v>
      </x:c>
      <x:c r="D34" s="2" t="s">
        <x:v>19</x:v>
      </x:c>
      <x:c r="E34" s="2" t="s">
        <x:v>137</x:v>
      </x:c>
      <x:c r="F34" s="2" t="s">
        <x:v>21</x:v>
      </x:c>
      <x:c r="G34" s="2" t="s">
        <x:v>120</x:v>
      </x:c>
      <x:c r="H34" s="3"/>
      <x:c r="I34" s="2" t="s">
        <x:v>164</x:v>
      </x:c>
      <x:c r="J34" s="4"/>
      <x:c r="K34" s="5"/>
      <x:c r="L34" s="4"/>
      <x:c r="M34" s="6"/>
      <x:c r="N34" s="7"/>
      <x:c r="O34" s="6" t="s">
        <x:v>165</x:v>
      </x:c>
      <x:c r="P34" s="6" t="s">
        <x:v>157</x:v>
      </x:c>
    </x:row>
  </x:sheetData>
  <x:dataValidations count="2">
    <x:dataValidation type="list" errorStyle="stop" operator="between" allowBlank="1" showDropDown="0" showInputMessage="0" showErrorMessage="0" sqref="F2:F31">
      <x:formula1>"Disponível,Pendente,A confirmar,A corrigir,Descartado"</x:formula1>
      <x:formula2>0</x:formula2>
    </x:dataValidation>
    <x:dataValidation type="list" errorStyle="stop" operator="between" allowBlank="1" showDropDown="0" showInputMessage="0" showErrorMessage="0" sqref="E2:E31 L2:L31">
      <x:formula1>"Sim,Não"</x:formula1>
      <x:formula2>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46" hidden="0" customWidth="1"/>
    <x:col min="2" max="3" width="12" hidden="0" customWidth="1"/>
  </x:cols>
  <x:sheetData>
    <x:row r="1" ht="16.149999618530273" hidden="0">
      <x:c r="A1" s="8" t="s">
        <x:v>166</x:v>
      </x:c>
    </x:row>
    <x:row r="2" ht="15" hidden="0">
      <x:c r="A2" s="9" t="s">
        <x:v>167</x:v>
      </x:c>
    </x:row>
    <x:row r="4" ht="15" hidden="0">
      <x:c r="A4" s="10" t="s">
        <x:v>168</x:v>
      </x:c>
      <x:c r="B4" s="11" t="e">
        <x:f aca="0">COUNTA(Inventário!A2:A34)</x:f>
        <x:v>#NAME?</x:v>
      </x:c>
    </x:row>
    <x:row r="5" ht="15" hidden="0">
      <x:c r="A5" s="10" t="s">
        <x:v>169</x:v>
      </x:c>
      <x:c r="B5" s="11" t="e">
        <x:f aca="0">COUNTIF(Inventário!E2:E34,"Sim")</x:f>
        <x:v>#NAME?</x:v>
      </x:c>
    </x:row>
    <x:row r="6" ht="15" hidden="0">
      <x:c r="A6" s="10" t="s">
        <x:v>170</x:v>
      </x:c>
      <x:c r="B6" s="11" t="e">
        <x:f aca="0">COUNTIF(Inventário!F2:F34,"Disponível")</x:f>
        <x:v>#NAME?</x:v>
      </x:c>
    </x:row>
    <x:row r="7" ht="15" hidden="0">
      <x:c r="A7" s="10" t="s">
        <x:v>171</x:v>
      </x:c>
      <x:c r="B7" s="11" t="e">
        <x:f aca="0">COUNTIF(Inventário!F2:F34,"Pendente")</x:f>
        <x:v>#NAME?</x:v>
      </x:c>
    </x:row>
    <x:row r="8" ht="15" hidden="0">
      <x:c r="A8" s="10" t="s">
        <x:v>87</x:v>
      </x:c>
      <x:c r="B8" s="11" t="e">
        <x:f aca="0">COUNTIF(Inventário!F2:F34,"A confirmar")</x:f>
        <x:v>#NAME?</x:v>
      </x:c>
    </x:row>
    <x:row r="9" ht="15" hidden="0">
      <x:c r="A9" s="10" t="s">
        <x:v>62</x:v>
      </x:c>
      <x:c r="B9" s="11" t="e">
        <x:f aca="0">COUNTIF(Inventário!F2:F34,"A corrigir")</x:f>
        <x:v>#NAME?</x:v>
      </x:c>
    </x:row>
    <x:row r="10" ht="15" hidden="0">
      <x:c r="A10" s="10" t="s">
        <x:v>172</x:v>
      </x:c>
      <x:c r="B10" s="11" t="e">
        <x:f aca="0">COUNTIFS(Inventário!E2:E34,"Sim",Inventário!F2:F34,"&lt;&gt;Disponível")</x:f>
        <x:v>#NAME?</x:v>
      </x:c>
    </x:row>
    <x:row r="11" ht="15" hidden="0">
      <x:c r="A11" s="10" t="s">
        <x:v>173</x:v>
      </x:c>
      <x:c r="B11" s="11" t="e">
        <x:f aca="0">COUNTIF(Inventário!L2:L34,"Sim")</x:f>
        <x:v>#NAME?</x:v>
      </x:c>
    </x:row>
    <x:row r="12" ht="15" hidden="0">
      <x:c r="A12" s="10" t="s">
        <x:v>174</x:v>
      </x:c>
      <x:c r="B12" s="11" t="e">
        <x:f aca="0">COUNTIFS(Inventário!E2:E34,"Sim",Inventário!L2:L34,"&lt;&gt;Sim")</x:f>
        <x:v>#NAME?</x:v>
      </x:c>
    </x:row>
    <x:row r="13" ht="15" hidden="0">
      <x:c r="A13" s="10" t="s">
        <x:v>175</x:v>
      </x:c>
      <x:c r="B13" s="11" t="e">
        <x:f aca="0">SUMPRODUCT((Inventário!G2:G34&lt;&gt;"")*(ISNUMBER(SEARCH("Google",Inventário!G2:G34))+ISNUMBER(SEARCH("Figma",Inventário!G2:G34))&gt;0))</x:f>
        <x:v>#NAME?</x:v>
      </x:c>
    </x:row>
    <x:row r="16" ht="15" hidden="0">
      <x:c r="A16" s="12" t="s">
        <x:v>176</x:v>
      </x:c>
      <x:c r="B16" s="13" t="s">
        <x:v>177</x:v>
      </x:c>
      <x:c r="C16" s="13" t="s">
        <x:v>170</x:v>
      </x:c>
    </x:row>
    <x:row r="17" ht="15" hidden="0">
      <x:c r="A17" s="10" t="s">
        <x:v>17</x:v>
      </x:c>
      <x:c r="B17" s="14" t="e">
        <x:f aca="0">COUNTIF(Inventário!B2:B34,A17)</x:f>
        <x:v>#NAME?</x:v>
      </x:c>
      <x:c r="C17" s="14" t="e">
        <x:f aca="0">COUNTIFS(Inventário!B2:B34,A17,Inventário!F2:F34,"Disponível")</x:f>
        <x:v>#NAME?</x:v>
      </x:c>
    </x:row>
    <x:row r="18" ht="15" hidden="0">
      <x:c r="A18" s="10" t="s">
        <x:v>71</x:v>
      </x:c>
      <x:c r="B18" s="14" t="e">
        <x:f aca="0">COUNTIF(Inventário!B2:B34,A18)</x:f>
        <x:v>#NAME?</x:v>
      </x:c>
      <x:c r="C18" s="14" t="e">
        <x:f aca="0">COUNTIFS(Inventário!B2:B34,A18,Inventário!F2:F34,"Disponível")</x:f>
        <x:v>#NAME?</x:v>
      </x:c>
    </x:row>
    <x:row r="19" ht="15" hidden="0">
      <x:c r="A19" s="10" t="s">
        <x:v>117</x:v>
      </x:c>
      <x:c r="B19" s="14" t="e">
        <x:f aca="0">COUNTIF(Inventário!B2:B34,A19)</x:f>
        <x:v>#NAME?</x:v>
      </x:c>
      <x:c r="C19" s="14" t="e">
        <x:f aca="0">COUNTIFS(Inventário!B2:B34,A19,Inventário!F2:F34,"Disponível")</x:f>
        <x:v>#NAME?</x:v>
      </x:c>
    </x:row>
    <x:row r="20" ht="15" hidden="0">
      <x:c r="A20" s="10" t="s">
        <x:v>134</x:v>
      </x:c>
      <x:c r="B20" s="14" t="e">
        <x:f aca="0">COUNTIF(Inventário!B2:B34,A20)</x:f>
        <x:v>#NAME?</x:v>
      </x:c>
      <x:c r="C20" s="14" t="e">
        <x:f aca="0">COUNTIFS(Inventário!B2:B34,A20,Inventário!F2:F34,"Disponível")</x:f>
        <x:v>#NAME?</x:v>
      </x:c>
    </x:row>
    <x:row r="21" ht="15" hidden="0">
      <x:c r="A21" s="10" t="s">
        <x:v>147</x:v>
      </x:c>
      <x:c r="B21" s="14" t="e">
        <x:f aca="0">COUNTIF(Inventário!B2:B34,A21)</x:f>
        <x:v>#NAME?</x:v>
      </x:c>
      <x:c r="C21" s="14" t="e">
        <x:f aca="0">COUNTIFS(Inventário!B2:B34,A21,Inventário!F2:F34,"Disponível")</x:f>
        <x:v>#NAME?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00" hidden="0" customWidth="1"/>
  </x:cols>
  <x:sheetData>
    <x:row r="1" ht="15" hidden="0">
      <x:c r="A1" s="15" t="s">
        <x:v>178</x:v>
      </x:c>
    </x:row>
    <x:row r="2" ht="15" hidden="0">
      <x:c r="A2" s="16"/>
    </x:row>
    <x:row r="3" ht="15" hidden="0">
      <x:c r="A3" s="16" t="s">
        <x:v>179</x:v>
      </x:c>
    </x:row>
    <x:row r="4" ht="15" hidden="0">
      <x:c r="A4" s="16" t="s">
        <x:v>180</x:v>
      </x:c>
    </x:row>
    <x:row r="5" ht="15" hidden="0">
      <x:c r="A5" s="16" t="s">
        <x:v>181</x:v>
      </x:c>
    </x:row>
    <x:row r="6" ht="15" hidden="0">
      <x:c r="A6" s="16"/>
    </x:row>
    <x:row r="7" ht="15" hidden="0">
      <x:c r="A7" s="16" t="s">
        <x:v>182</x:v>
      </x:c>
    </x:row>
    <x:row r="8" ht="15" hidden="0">
      <x:c r="A8" s="16" t="s">
        <x:v>183</x:v>
      </x:c>
    </x:row>
    <x:row r="9" ht="15" hidden="0">
      <x:c r="A9" s="16"/>
    </x:row>
    <x:row r="10" ht="15" hidden="0">
      <x:c r="A10" s="15" t="s">
        <x:v>184</x:v>
      </x:c>
    </x:row>
    <x:row r="11" ht="15" hidden="0">
      <x:c r="A11" s="16" t="s">
        <x:v>185</x:v>
      </x:c>
    </x:row>
    <x:row r="12" ht="15" hidden="0">
      <x:c r="A12" s="16" t="s">
        <x:v>186</x:v>
      </x:c>
    </x:row>
    <x:row r="13" ht="15" hidden="0">
      <x:c r="A13" s="16" t="s">
        <x:v>187</x:v>
      </x:c>
    </x:row>
    <x:row r="14" ht="15" hidden="0">
      <x:c r="A14" s="16" t="s">
        <x:v>188</x:v>
      </x:c>
    </x:row>
    <x:row r="15" ht="15" hidden="0">
      <x:c r="A15" s="16" t="s">
        <x:v>189</x:v>
      </x:c>
    </x:row>
    <x:row r="16" ht="15" hidden="0">
      <x:c r="A16" s="16" t="s">
        <x:v>190</x:v>
      </x:c>
    </x:row>
    <x:row r="17" ht="15" hidden="0">
      <x:c r="A17" s="16"/>
    </x:row>
    <x:row r="18" ht="15" hidden="0">
      <x:c r="A18" s="15" t="s">
        <x:v>191</x:v>
      </x:c>
    </x:row>
    <x:row r="19" ht="15" hidden="0">
      <x:c r="A19" s="16" t="s">
        <x:v>192</x:v>
      </x:c>
    </x:row>
    <x:row r="20" ht="15" hidden="0">
      <x:c r="A20" s="16" t="s">
        <x:v>193</x:v>
      </x:c>
    </x:row>
    <x:row r="21" ht="15" hidden="0">
      <x:c r="A21" s="16" t="s">
        <x:v>194</x:v>
      </x:c>
    </x:row>
    <x:row r="22" ht="15" hidden="0">
      <x:c r="A22" s="16" t="s">
        <x:v>195</x:v>
      </x:c>
    </x:row>
    <x:row r="23" ht="15" hidden="0">
      <x:c r="A23" s="16" t="s">
        <x:v>196</x:v>
      </x:c>
    </x:row>
    <x:row r="24" ht="15" hidden="0">
      <x:c r="A24" s="16" t="s">
        <x:v>197</x:v>
      </x:c>
    </x:row>
    <x:row r="25" ht="15" hidden="0">
      <x:c r="A25" s="16"/>
    </x:row>
    <x:row r="26" ht="15" hidden="0">
      <x:c r="A26" s="15" t="s">
        <x:v>198</x:v>
      </x:c>
    </x:row>
    <x:row r="27" ht="15" hidden="0">
      <x:c r="A27" s="16" t="s">
        <x:v>199</x:v>
      </x:c>
    </x:row>
    <x:row r="28" ht="15" hidden="0">
      <x:c r="A28" s="16" t="s">
        <x:v>200</x:v>
      </x:c>
    </x:row>
    <x:row r="29" ht="15" hidden="0">
      <x:c r="A29" s="16" t="s">
        <x:v>201</x:v>
      </x:c>
    </x:row>
    <x:row r="30" ht="15" hidden="0">
      <x:c r="A30" s="16"/>
    </x:row>
    <x:row r="31" ht="15" hidden="0">
      <x:c r="A31" s="15" t="s">
        <x:v>202</x:v>
      </x:c>
    </x:row>
    <x:row r="32" ht="15" hidden="0">
      <x:c r="A32" s="16" t="s">
        <x:v>203</x:v>
      </x:c>
    </x:row>
    <x:row r="33" ht="15" hidden="0">
      <x:c r="A33" s="16" t="s">
        <x:v>204</x:v>
      </x:c>
    </x:row>
    <x:row r="34" ht="15" hidden="0">
      <x:c r="A34" s="16" t="s">
        <x:v>205</x:v>
      </x:c>
    </x:row>
    <x:row r="35" ht="15" hidden="0">
      <x:c r="A35" s="16" t="s">
        <x:v>206</x:v>
      </x:c>
    </x:row>
  </x:sheetData>
  <x:pageMargins left="0.7" right="0.7" top="0.75" bottom="0.75" header="0.3" footer="0.3"/>
</x:worksheet>
</file>