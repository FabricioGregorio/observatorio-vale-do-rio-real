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ário" sheetId="1" state="visible" r:id="rId3"/>
    <sheet name="Resumo" sheetId="2" state="visible" r:id="rId4"/>
    <sheet name="Legenda" sheetId="3" state="visible" r:id="rId5"/>
  </sheets>
  <definedNames>
    <definedName function="false" hidden="true" localSheetId="0" name="_xlnm._FilterDatabase" vbProcedure="false">Inventário!$A$1:$O$31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<sst xmlns="http://schemas.openxmlformats.org/spreadsheetml/2006/main" count="210" uniqueCount="210">
  <si>
    <t xml:space="preserve">ID</t>
  </si>
  <si>
    <t xml:space="preserve">Categoria</t>
  </si>
  <si>
    <t xml:space="preserve">Item</t>
  </si>
  <si>
    <t xml:space="preserve">Tipo (enum)</t>
  </si>
  <si>
    <t xml:space="preserve">Exigido pelo edital</t>
  </si>
  <si>
    <t xml:space="preserve">Status</t>
  </si>
  <si>
    <t xml:space="preserve">Fonte atual</t>
  </si>
  <si>
    <t xml:space="preserve">Link atual</t>
  </si>
  <si>
    <t xml:space="preserve">Slug proposto</t>
  </si>
  <si>
    <t xml:space="preserve">Responsável</t>
  </si>
  <si>
    <t xml:space="preserve">Prazo</t>
  </si>
  <si>
    <t xml:space="preserve">Espelhado</t>
  </si>
  <si>
    <t xml:space="preserve">URL permanente</t>
  </si>
  <si>
    <t xml:space="preserve">SHA-256</t>
  </si>
  <si>
    <t xml:space="preserve">Observações</t>
  </si>
  <si>
    <t xml:space="preserve">A01</t>
  </si>
  <si>
    <t xml:space="preserve">Análise de dados</t>
  </si>
  <si>
    <t xml:space="preserve">Painel Vivo de Dados</t>
  </si>
  <si>
    <t xml:space="preserve">painel_dados</t>
  </si>
  <si>
    <t xml:space="preserve">Sim</t>
  </si>
  <si>
    <t xml:space="preserve">Disponível</t>
  </si>
  <si>
    <t xml:space="preserve">Figma</t>
  </si>
  <si>
    <t xml:space="preserve">https://www.figma.com/board/kMsYJxJYHv8fBFJYEmuZ7Y/Tobias-Sou-Eu?node-id=0-1</t>
  </si>
  <si>
    <t xml:space="preserve">painel-vivo-figma</t>
  </si>
  <si>
    <t xml:space="preserve">A02</t>
  </si>
  <si>
    <t xml:space="preserve">Relatório Técnico — Recanto da Serra</t>
  </si>
  <si>
    <t xml:space="preserve">relatorio_tecnico</t>
  </si>
  <si>
    <t xml:space="preserve">Google Docs</t>
  </si>
  <si>
    <t xml:space="preserve">https://docs.google.com/document/d/1enNLpwLkqmixIcIJxBzmyHCO5VMm5dL78buymcw8v0M/edit</t>
  </si>
  <si>
    <t xml:space="preserve">relatorio-tecnico-recanto-da-serra</t>
  </si>
  <si>
    <t xml:space="preserve">A03</t>
  </si>
  <si>
    <t xml:space="preserve">Relatório Técnico — Borda da Mata</t>
  </si>
  <si>
    <t xml:space="preserve">relatorio-tecnico-borda-da-mata</t>
  </si>
  <si>
    <t xml:space="preserve">A04</t>
  </si>
  <si>
    <t xml:space="preserve">Relatório Técnico — Serra dos Macacos</t>
  </si>
  <si>
    <t xml:space="preserve">relatorio-tecnico-serra-dos-macacos</t>
  </si>
  <si>
    <t xml:space="preserve">A05</t>
  </si>
  <si>
    <t xml:space="preserve">Diagnóstico Interno — Recanto da Serra</t>
  </si>
  <si>
    <t xml:space="preserve">diagnostico_interno</t>
  </si>
  <si>
    <t xml:space="preserve">Pendente</t>
  </si>
  <si>
    <t xml:space="preserve">diagnostico-interno-recanto-da-serra</t>
  </si>
  <si>
    <t xml:space="preserve">A06</t>
  </si>
  <si>
    <t xml:space="preserve">Diagnóstico Interno — Borda da Mata</t>
  </si>
  <si>
    <t xml:space="preserve">diagnostico-interno-borda-da-mata</t>
  </si>
  <si>
    <t xml:space="preserve">A07</t>
  </si>
  <si>
    <t xml:space="preserve">Diagnóstico Interno — Visitantes I</t>
  </si>
  <si>
    <t xml:space="preserve">diagnostico-interno-visitantes-i</t>
  </si>
  <si>
    <t xml:space="preserve">A08</t>
  </si>
  <si>
    <t xml:space="preserve">Diagnóstico Interno — Visitantes II</t>
  </si>
  <si>
    <t xml:space="preserve">diagnostico-interno-visitantes-ii</t>
  </si>
  <si>
    <t xml:space="preserve">A09</t>
  </si>
  <si>
    <t xml:space="preserve">Formulário modelo — Rotina de funcionamento</t>
  </si>
  <si>
    <t xml:space="preserve">formulario_modelo</t>
  </si>
  <si>
    <t xml:space="preserve">A corrigir</t>
  </si>
  <si>
    <t xml:space="preserve">Google Forms</t>
  </si>
  <si>
    <t xml:space="preserve">https://docs.google.com/forms/d/1MtLyy5r3S6lAkFd-xaF6yd9cOBPggQiEjSC9zzp_6Qg/edit#responses</t>
  </si>
  <si>
    <t xml:space="preserve">formulario-rotina-de-funcionamento</t>
  </si>
  <si>
    <t xml:space="preserve">A10</t>
  </si>
  <si>
    <t xml:space="preserve">Formulário modelo — Público consumidor</t>
  </si>
  <si>
    <t xml:space="preserve">formulario-publico-consumidor</t>
  </si>
  <si>
    <t xml:space="preserve">B01</t>
  </si>
  <si>
    <t xml:space="preserve">Comprovação de campo</t>
  </si>
  <si>
    <t xml:space="preserve">Fotografias de comprovação — Visitas I a VII</t>
  </si>
  <si>
    <t xml:space="preserve">outro</t>
  </si>
  <si>
    <t xml:space="preserve">Google Drive</t>
  </si>
  <si>
    <t xml:space="preserve">https://drive.google.com/drive/folders/12HRvnl9lKbfStwsusFCSyPfCxOv7hxFs</t>
  </si>
  <si>
    <t xml:space="preserve">fotografias-visitas-i-vii</t>
  </si>
  <si>
    <t xml:space="preserve">B02</t>
  </si>
  <si>
    <t xml:space="preserve">Entrevista — Josenilson Bispo (27/03/2026)</t>
  </si>
  <si>
    <t xml:space="preserve">entrevista_transcricao</t>
  </si>
  <si>
    <t xml:space="preserve">https://drive.google.com/drive/folders/1r8F8XNIjiq9Agq63qzqxpAGHbBzOJIA4</t>
  </si>
  <si>
    <t xml:space="preserve">entrevista-josenilson-bispo</t>
  </si>
  <si>
    <t xml:space="preserve">B03</t>
  </si>
  <si>
    <t xml:space="preserve">Entrevista — Oviêdo e Neide Abreu (28/03/2026)</t>
  </si>
  <si>
    <t xml:space="preserve">entrevista-oviedo-e-neide-abreu</t>
  </si>
  <si>
    <t xml:space="preserve">B04</t>
  </si>
  <si>
    <t xml:space="preserve">Entrevista — Pedro Menezes (05/04/2026)</t>
  </si>
  <si>
    <t xml:space="preserve">A confirmar</t>
  </si>
  <si>
    <t xml:space="preserve">entrevista-pedro-menezes</t>
  </si>
  <si>
    <t xml:space="preserve">B05</t>
  </si>
  <si>
    <t xml:space="preserve">Entrevista — Paola Santana (06/04/2026)</t>
  </si>
  <si>
    <t xml:space="preserve">entrevista-paola-santana</t>
  </si>
  <si>
    <t xml:space="preserve">B06</t>
  </si>
  <si>
    <t xml:space="preserve">Entrevista — liderança de Ilha Grande (11/04/2026)</t>
  </si>
  <si>
    <t xml:space="preserve">entrevista-lideranca-ilha-grande</t>
  </si>
  <si>
    <t xml:space="preserve">B07</t>
  </si>
  <si>
    <t xml:space="preserve">Entrevista — Secretaria de Cultura de Itabaianinha</t>
  </si>
  <si>
    <t xml:space="preserve">entrevista-cultura-itabaianinha</t>
  </si>
  <si>
    <t xml:space="preserve">B08</t>
  </si>
  <si>
    <t xml:space="preserve">Entrevista — Prefeito de Tobias Barreto</t>
  </si>
  <si>
    <t xml:space="preserve">entrevista-prefeito-tobias-barreto</t>
  </si>
  <si>
    <t xml:space="preserve">B09</t>
  </si>
  <si>
    <t xml:space="preserve">Relato de campo — Lhucas</t>
  </si>
  <si>
    <t xml:space="preserve">relato_campo</t>
  </si>
  <si>
    <t xml:space="preserve">relato-de-campo-lhucas</t>
  </si>
  <si>
    <t xml:space="preserve">B10</t>
  </si>
  <si>
    <t xml:space="preserve">Relato de campo — Fabricio</t>
  </si>
  <si>
    <t xml:space="preserve">relato-de-campo-fabricio</t>
  </si>
  <si>
    <t xml:space="preserve">B11</t>
  </si>
  <si>
    <t xml:space="preserve">Relato de campo — Luiz</t>
  </si>
  <si>
    <t xml:space="preserve">relato-de-campo-luiz</t>
  </si>
  <si>
    <t xml:space="preserve">B12</t>
  </si>
  <si>
    <t xml:space="preserve">Relato de campo — Galileu</t>
  </si>
  <si>
    <t xml:space="preserve">relato-de-campo-galileu</t>
  </si>
  <si>
    <t xml:space="preserve">C01</t>
  </si>
  <si>
    <t xml:space="preserve">Produto final</t>
  </si>
  <si>
    <t xml:space="preserve">Relatório Parcial de Levantamento de Dados</t>
  </si>
  <si>
    <t xml:space="preserve">relatorio_parcial</t>
  </si>
  <si>
    <t xml:space="preserve">Arquivo local</t>
  </si>
  <si>
    <t xml:space="preserve">relatorio-parcial-levantamento-de-dados</t>
  </si>
  <si>
    <t xml:space="preserve">C02</t>
  </si>
  <si>
    <t xml:space="preserve">Documento Final da pesquisa</t>
  </si>
  <si>
    <t xml:space="preserve">documento_final</t>
  </si>
  <si>
    <t xml:space="preserve">documento-final</t>
  </si>
  <si>
    <t xml:space="preserve">C03</t>
  </si>
  <si>
    <t xml:space="preserve">Relatório de modelagem estatística</t>
  </si>
  <si>
    <t xml:space="preserve">modelagem_estatistica</t>
  </si>
  <si>
    <t xml:space="preserve">modelagem-estatistica</t>
  </si>
  <si>
    <t xml:space="preserve">C04</t>
  </si>
  <si>
    <t xml:space="preserve">PodObservar — 1ª temporada</t>
  </si>
  <si>
    <t xml:space="preserve">podobservar-temporada-1</t>
  </si>
  <si>
    <t xml:space="preserve">D01</t>
  </si>
  <si>
    <t xml:space="preserve">Publicidade</t>
  </si>
  <si>
    <t xml:space="preserve">Identidade visual — logomarca e cards</t>
  </si>
  <si>
    <t xml:space="preserve">identidade_visual</t>
  </si>
  <si>
    <t xml:space="preserve">Não</t>
  </si>
  <si>
    <t xml:space="preserve">https://drive.google.com/drive/folders/1Rfp-BnVWN4MJMi1-Uijh3joD9RxhPMsH</t>
  </si>
  <si>
    <t xml:space="preserve">identidade-visual</t>
  </si>
  <si>
    <t xml:space="preserve">D02</t>
  </si>
  <si>
    <t xml:space="preserve">Instagram @obs_tobiassoueu</t>
  </si>
  <si>
    <t xml:space="preserve">Instagram</t>
  </si>
  <si>
    <t xml:space="preserve">https://www.instagram.com/obs_tobiassoueu/</t>
  </si>
  <si>
    <t xml:space="preserve">instagram</t>
  </si>
  <si>
    <t xml:space="preserve">E01</t>
  </si>
  <si>
    <t xml:space="preserve">Conformidade</t>
  </si>
  <si>
    <t xml:space="preserve">Termos de consentimento das entrevistas</t>
  </si>
  <si>
    <t xml:space="preserve">termos-de-consentimento</t>
  </si>
  <si>
    <t xml:space="preserve">E02</t>
  </si>
  <si>
    <t xml:space="preserve">Manual de aplicação de marcas do edital</t>
  </si>
  <si>
    <t xml:space="preserve">manual-de-marcas</t>
  </si>
  <si>
    <t xml:space="preserve">Situação do inventário de anexos</t>
  </si>
  <si>
    <t xml:space="preserve">Todos os números abaixo são fórmulas sobre a aba Inventário. Não editar.</t>
  </si>
  <si>
    <t xml:space="preserve">Total de itens</t>
  </si>
  <si>
    <t xml:space="preserve">Exigidos pelo edital</t>
  </si>
  <si>
    <t xml:space="preserve">Disponíveis</t>
  </si>
  <si>
    <t xml:space="preserve">Pendentes</t>
  </si>
  <si>
    <t xml:space="preserve">Exigidos ainda não disponíveis</t>
  </si>
  <si>
    <t xml:space="preserve">Já espelhados em URL própria</t>
  </si>
  <si>
    <t xml:space="preserve">Exigidos sem espelho (bloqueiam publicação)</t>
  </si>
  <si>
    <t xml:space="preserve">Dependentes de Google Drive/Docs/Forms/Figma</t>
  </si>
  <si>
    <t xml:space="preserve">Por categoria</t>
  </si>
  <si>
    <t xml:space="preserve">Itens</t>
  </si>
  <si>
    <t xml:space="preserve">Como usar esta planilha</t>
  </si>
  <si>
    <t xml:space="preserve">As células em AMARELO são as que você preenche: Responsável, Prazo, Espelhado,</t>
  </si>
  <si>
    <t xml:space="preserve">URL permanente, SHA-256 e Observações. As demais colunas vêm do Relatório Parcial</t>
  </si>
  <si>
    <t xml:space="preserve">e do documento de Links de Referência — só altere se houver correção real.</t>
  </si>
  <si>
    <t xml:space="preserve">Esta planilha é a fonte da tarefa 06 (espelhamento) e do seed das tabelas</t>
  </si>
  <si>
    <t xml:space="preserve">'documento' e 'arquivo'. Exporte a aba Inventário como CSV para alimentar o script.</t>
  </si>
  <si>
    <t xml:space="preserve">Exemplo de linha preenchida</t>
  </si>
  <si>
    <t xml:space="preserve">Responsável: Lhucas</t>
  </si>
  <si>
    <t xml:space="preserve">Prazo: 15/09/2026</t>
  </si>
  <si>
    <t xml:space="preserve">Espelhado: Sim</t>
  </si>
  <si>
    <t xml:space="preserve">URL permanente: https://&lt;dominio&gt;/arquivos/relatorios/relatorio-tecnico-recanto-da-serra-v1.pdf</t>
  </si>
  <si>
    <t xml:space="preserve">SHA-256: 9f2c4a1b... (64 caracteres, gerado por scripts/gerar-hashes.ts)</t>
  </si>
  <si>
    <t xml:space="preserve">Observações: versão revisada em 12/09; substitui o PDF anterior</t>
  </si>
  <si>
    <t xml:space="preserve">Significado dos status</t>
  </si>
  <si>
    <t xml:space="preserve">Disponível — arquivo existe e está acessível para download</t>
  </si>
  <si>
    <t xml:space="preserve">Pendente — o arquivo ainda não foi produzido ou não foi localizado</t>
  </si>
  <si>
    <t xml:space="preserve">A confirmar — existe, mas falta confirmar acesso, versão ou consentimento</t>
  </si>
  <si>
    <t xml:space="preserve">A corrigir — o link aponta para lugar errado. Caso de A09 e A10: o endereço</t>
  </si>
  <si>
    <t xml:space="preserve">   registrado é o de EDIÇÃO do Google Forms (/edit#responses), que não abre para</t>
  </si>
  <si>
    <t xml:space="preserve">   terceiros. Publicar o modelo do formulário e, à parte, os resultados anonimizados.</t>
  </si>
  <si>
    <t xml:space="preserve">Coluna 'Tipo (enum)'</t>
  </si>
  <si>
    <t xml:space="preserve">Usa exatamente os valores do enum tipo_documento definido na seção 3 do</t>
  </si>
  <si>
    <t xml:space="preserve">documento de arquitetura de banco. Não inventar valor novo: se um item não couber</t>
  </si>
  <si>
    <t xml:space="preserve">em nenhum, use 'outro' e descreva em Observações.</t>
  </si>
  <si>
    <t xml:space="preserve">Itens críticos</t>
  </si>
  <si>
    <t xml:space="preserve">E01 Termos de consentimento — sem eles a tabela 'consentimento' fica vazia e o gate</t>
  </si>
  <si>
    <t xml:space="preserve">   de CI barra a publicação de qualquer áudio de entrevista. É bloqueador legal.</t>
  </si>
  <si>
    <t xml:space="preserve">E02 Manual de marcas — define proporção e ordem dos créditos de fomento no rodapé</t>
  </si>
  <si>
    <t xml:space="preserve">   e nas capas dos PDFs. Causa recorrente de ressalva em prestação de contas.</t>
  </si>
  <si>
    <t xml:space="preserve">18b7bbb11b6157af525c7e1c88b7e385763dadc094bb60fdf6f3a27d9c2aff91</t>
  </si>
  <si>
    <t xml:space="preserve">Fonte canônica local: relatorios/relatorio-tecnico-recanto-da-serra.pdf, 14 páginas, título interno 'RELATÓRIO TÉCNICO – RECANTO DA SERRA'. SHA-256 é do original local, NÃO de objeto espelhado: nada foi enviado a storage. Contém a seção que serve de fonte a A05. Exige revisão de privacidade — nomeia trabalhadores remunerados. Não promovido a PUBLICAVEL.</t>
  </si>
  <si>
    <t xml:space="preserve">6dfef47006ed97133c8fef2ce0b935643c7955efbc7abaece2bcc9b0edcfea2e</t>
  </si>
  <si>
    <t xml:space="preserve">Fonte canônica local: relatorios/relatorio-tecnico-borda-da-mata.pdf, 7 páginas, título interno 'RELATÓRIO TÉCNICO – BORDA DA MATA'. PDF sem camada de texto: 7 imagens JPEG, zero fontes. Derivado existente: derivados/a03-borda-da-mata-ocr.md, sha256 502d9bf1433413cfd17fe70442f6351efbe708aad7a94314946b2b64b366ff8b, produzido por TRANSCRIÇÃO ASSISTIDA POR LEITURA VISUAL — não por OCR estatístico. Original preservado e RESTRITO até revisão. O valor em 'Link atual' é compartilhado com A02 e A04 e não identifica este item.</t>
  </si>
  <si>
    <t xml:space="preserve">7e966429d1fccae8f7583ebc0fb6644c8f6393390e5a2a0d633cbe79a79a7cde</t>
  </si>
  <si>
    <t xml:space="preserve">Fonte canônica local: relatorios/relatorio-tecnico-serra-dos-macacos.pdf, 4 páginas. Título interno é 'RELATO TÉCNICO SERRA DOS MACACOS' — 'RELATO', não 'RELATÓRIO'. Divergência registrada, não corrigida. O valor em 'Link atual' é compartilhado com A02 e A03 e não identifica este item.</t>
  </si>
  <si>
    <t xml:space="preserve">derivavel_de = A02. Seção comprovada no original de A02: 'Diagnóstico detalhado do Recanto da Serra'. O artefato A05 separado ainda NÃO existe, por isso o status permanece Pendente e não ESPELHAVEL. Não extraído nesta rodada.</t>
  </si>
  <si>
    <t xml:space="preserve">derivavel_de = A03. Seção comprovada na transcrição derivada de A03: 'Resumo Executivo: Diagnóstico de Impacto Econômico e Cultural – Borda da Mata', mais o detalhamento numerado. O artefato A06 separado ainda NÃO existe, por isso o status permanece Pendente e não ESPELHAVEL. Não extraído nesta rodada.</t>
  </si>
  <si>
    <t xml:space="preserve">Entrevista — Maria Madalena Santos (Dona Madá), Ilha Grande</t>
  </si>
  <si>
    <t xml:space="preserve">Reconciliado em 2026-09-06. Nome declarado: Maria Madalena Santos; nome de exibição: Dona Madá. Descrição sustentada: moradora / memória local. RETIRADOS por falta de fonte, e registrados aqui como proveniência: a data '11/04/2026' e a classificação 'liderança', ambas presentes antes e não confirmadas por nenhum arquivo do acervo. Consentimento: verbal_gravado; declaracao_responsavel = autorizado; evidencia_transcricao = nao_localizada; evidencia_audio = pendente_verificacao. Fonte canônica local: entrevistas/08-dona-mada/. Não promovido a PUBLICAVEL.</t>
  </si>
  <si>
    <t xml:space="preserve">PERMANECE como previsão de entrevista de Itabaianinha que NÃO se realizou. Não foi reclassificado como Tomar do Geru e não recebeu arquivo. B13 não o substitui: é item complementar de outra entrevista, de outro município. Continua no conjunto dos 28 itens obrigatórios, como pendência real.</t>
  </si>
  <si>
    <t xml:space="preserve">instrumento_original_separado = nao_localizado. fonte_das_perguntas = cabecalhos_das_planilhas. Reconstituível a partir de formularios/formulario-de-funcionamento-pedro-e-oviedo.xlsx, cujos cabeçalhos são o texto das perguntas aplicadas. Qualquer documento gerado assim é 'Reconstituição do instrumento de coleta', não o instrumento original. Respostas individuais são RESTRITO — a planilha tem coluna com nome de responsável. PDF não produzido.</t>
  </si>
  <si>
    <t xml:space="preserve">instrumento_original_separado = nao_localizado. fonte_das_perguntas = cabecalhos_das_planilhas. Reconstituível a partir de formularios/formulario-recanto-da-serra-respostas.xlsx e formularios/formulario-borda-da-mata-respostas.xlsx. Qualquer documento gerado assim é 'Reconstituição do instrumento de coleta'. Respostas individuais são RESTRITO. PDF não produzido.</t>
  </si>
  <si>
    <t xml:space="preserve">B13</t>
  </si>
  <si>
    <t xml:space="preserve">Entrevista — Laerte Santos Aguiar, Secretário Municipal de Cultura de Tomar do Geru</t>
  </si>
  <si>
    <t xml:space="preserve">entrevista-laerte-aguiar</t>
  </si>
  <si>
    <t xml:space="preserve">EVIDÊNCIA COMPLEMENTAR — não exigida pelo edital; obrigatorio = false. Estado preliminar: RESTRITO. NÃO substitui B07, que segue como previsão não realizada de Itabaianinha. Nome declarado: Laerte Santos Aguiar. Função: Secretário Municipal de Cultura. Município: Tomar do Geru. Fonte canônica local: entrevistas/07-laerte-aguiar/ — áudio e transcrição. Consentimento verbal gravado, evidência localizada na transcrição. Participante adicional sustentado pela fonte: Mateus Cardoso Rita, sacristão, que também autoriza a gravação e não é entrevistado principal.</t>
  </si>
  <si>
    <t xml:space="preserve">B14</t>
  </si>
  <si>
    <t xml:space="preserve">Entrevista — Márcio André, Diretor de Turismo de São Cristóvão</t>
  </si>
  <si>
    <t xml:space="preserve">entrevista-marcio-andre</t>
  </si>
  <si>
    <t xml:space="preserve">EVIDÊNCIA COMPLEMENTAR — não exigida pelo edital; obrigatorio = false. Estado preliminar: RESTRITO. Nome declarado: Márcio André Soares Ramos; nome de exibição: Márcio André. Função: Diretor de Turismo de São Cristóvão. Fonte canônica local: entrevistas/04-diretor-turismo-sao-cristovao/. Consentimento verbal gravado, evidência localizada na transcrição. Participante adicional sustentado pela fonte: Ian Victor Batista de Araújo, que também autoriza a gravação; NÃO é segundo entrevistado principal. A grafia 'marcio-ramos', presente em nome de foto, é nomenclatura histórica divergente do mesmo nome, não outra pessoa.</t>
  </si>
  <si>
    <t xml:space="preserve">A11</t>
  </si>
  <si>
    <t xml:space="preserve">Anexo Técnico de Indicadores — Etapa 1 de Levantamento</t>
  </si>
  <si>
    <t xml:space="preserve">anexo-indicadores-etapa-1</t>
  </si>
  <si>
    <t xml:space="preserve">EVIDÊNCIA COMPLEMENTAR — não exigida pelo edital; obrigatorio = false. Não foi exigido pela FUNCAP. Estado preliminar: RESTRITO, porque o conjunto contém arquivos que exigem revisão de privacidade — 06-pessoas-trabalho e 08-fornecedores nomeiam pessoas. NÃO substitui A01, que continua representando o painel interativo no Figma. Fonte canônica local: formularios/indicadores-observatorio/ — uma planilha de 17 abas mais 17 PDFs que a renderizam, aba por aba. A nota metodológica desse conjunto é a origem da regra de anonimização de comentários que citam terceiros.</t>
  </si>
  <si>
    <t xml:space="preserve">Natureza</t>
  </si>
  <si>
    <t xml:space="preserve">item_exigido</t>
  </si>
  <si>
    <t xml:space="preserve">item_nao_exigido</t>
  </si>
  <si>
    <t xml:space="preserve">evidencia_complementar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</si>
</sst>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Courier New"/>
      <family val="0"/>
      <charset val="1"/>
    </font>
    <font>
      <b val="true"/>
      <sz val="13"/>
      <color rgb="FF12301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12301F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01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0C6"/>
      </left>
      <right style="thin">
        <color rgb="FFD3D0C6"/>
      </right>
      <top style="thin">
        <color rgb="FFD3D0C6"/>
      </top>
      <bottom style="thin">
        <color rgb="FFD3D0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230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0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2301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7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46"/>
    <col collapsed="false" customWidth="true" hidden="false" outlineLevel="0" max="9" min="9" style="0" width="38"/>
    <col collapsed="false" customWidth="true" hidden="false" outlineLevel="0" max="10" min="10" style="0" width="18"/>
    <col collapsed="false" customWidth="true" hidden="false" outlineLevel="0" max="12" min="11" style="0" width="12"/>
    <col collapsed="false" customWidth="true" hidden="false" outlineLevel="0" max="13" min="13" style="0" width="40"/>
    <col collapsed="false" customWidth="true" hidden="false" outlineLevel="0" max="14" min="14" style="0" width="22"/>
    <col collapsed="false" customWidth="true" hidden="false" outlineLevel="0" max="15" min="15" style="0" width="4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206</v>
      </c>
    </row>
    <row r="2" customFormat="false" ht="35.05" hidden="false" customHeight="false" outlineLevel="0" collapsed="false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3" t="s">
        <v>22</v>
      </c>
      <c r="I2" s="2" t="s">
        <v>23</v>
      </c>
      <c r="J2" s="4"/>
      <c r="K2" s="5"/>
      <c r="L2" s="4"/>
      <c r="M2" s="6"/>
      <c r="N2" s="7"/>
      <c r="O2" s="6"/>
      <c r="P2" s="6" t="s">
        <v>207</v>
      </c>
    </row>
    <row r="3" customFormat="false" ht="35.05" hidden="false" customHeight="false" outlineLevel="0" collapsed="false">
      <c r="A3" s="2" t="s">
        <v>24</v>
      </c>
      <c r="B3" s="2" t="s">
        <v>16</v>
      </c>
      <c r="C3" s="3" t="s">
        <v>25</v>
      </c>
      <c r="D3" s="2" t="s">
        <v>26</v>
      </c>
      <c r="E3" s="2" t="s">
        <v>19</v>
      </c>
      <c r="F3" s="2" t="s">
        <v>20</v>
      </c>
      <c r="G3" s="2" t="s">
        <v>27</v>
      </c>
      <c r="H3" s="3" t="s">
        <v>28</v>
      </c>
      <c r="I3" s="2" t="s">
        <v>29</v>
      </c>
      <c r="J3" s="4"/>
      <c r="K3" s="5"/>
      <c r="L3" s="4"/>
      <c r="M3" s="6"/>
      <c r="N3" s="7" t="s">
        <v>181</v>
      </c>
      <c r="O3" s="6" t="s">
        <v>182</v>
      </c>
      <c r="P3" s="6" t="s">
        <v>207</v>
      </c>
    </row>
    <row r="4" customFormat="false" ht="35.05" hidden="false" customHeight="false" outlineLevel="0" collapsed="false">
      <c r="A4" s="2" t="s">
        <v>30</v>
      </c>
      <c r="B4" s="2" t="s">
        <v>16</v>
      </c>
      <c r="C4" s="3" t="s">
        <v>31</v>
      </c>
      <c r="D4" s="2" t="s">
        <v>26</v>
      </c>
      <c r="E4" s="2" t="s">
        <v>19</v>
      </c>
      <c r="F4" s="2" t="s">
        <v>20</v>
      </c>
      <c r="G4" s="2" t="s">
        <v>27</v>
      </c>
      <c r="H4" s="3" t="s">
        <v>28</v>
      </c>
      <c r="I4" s="2" t="s">
        <v>32</v>
      </c>
      <c r="J4" s="4"/>
      <c r="K4" s="5"/>
      <c r="L4" s="4"/>
      <c r="M4" s="6"/>
      <c r="N4" s="7" t="s">
        <v>183</v>
      </c>
      <c r="O4" s="6" t="s">
        <v>184</v>
      </c>
      <c r="P4" s="6" t="s">
        <v>207</v>
      </c>
    </row>
    <row r="5" customFormat="false" ht="35.05" hidden="false" customHeight="false" outlineLevel="0" collapsed="false">
      <c r="A5" s="2" t="s">
        <v>33</v>
      </c>
      <c r="B5" s="2" t="s">
        <v>16</v>
      </c>
      <c r="C5" s="3" t="s">
        <v>34</v>
      </c>
      <c r="D5" s="2" t="s">
        <v>26</v>
      </c>
      <c r="E5" s="2" t="s">
        <v>19</v>
      </c>
      <c r="F5" s="2" t="s">
        <v>20</v>
      </c>
      <c r="G5" s="2" t="s">
        <v>27</v>
      </c>
      <c r="H5" s="3" t="s">
        <v>28</v>
      </c>
      <c r="I5" s="2" t="s">
        <v>35</v>
      </c>
      <c r="J5" s="4"/>
      <c r="K5" s="5"/>
      <c r="L5" s="4"/>
      <c r="M5" s="6"/>
      <c r="N5" s="7" t="s">
        <v>185</v>
      </c>
      <c r="O5" s="6" t="s">
        <v>186</v>
      </c>
      <c r="P5" s="6" t="s">
        <v>207</v>
      </c>
    </row>
    <row r="6" customFormat="false" ht="15" hidden="false" customHeight="false" outlineLevel="0" collapsed="false">
      <c r="A6" s="2" t="s">
        <v>36</v>
      </c>
      <c r="B6" s="2" t="s">
        <v>16</v>
      </c>
      <c r="C6" s="3" t="s">
        <v>37</v>
      </c>
      <c r="D6" s="2" t="s">
        <v>38</v>
      </c>
      <c r="E6" s="2" t="s">
        <v>19</v>
      </c>
      <c r="F6" s="2" t="s">
        <v>39</v>
      </c>
      <c r="G6" s="2"/>
      <c r="H6" s="3"/>
      <c r="I6" s="2" t="s">
        <v>40</v>
      </c>
      <c r="J6" s="4"/>
      <c r="K6" s="5"/>
      <c r="L6" s="4"/>
      <c r="M6" s="6"/>
      <c r="N6" s="7"/>
      <c r="O6" s="6" t="s">
        <v>187</v>
      </c>
      <c r="P6" s="6" t="s">
        <v>207</v>
      </c>
    </row>
    <row r="7" customFormat="false" ht="15" hidden="false" customHeight="false" outlineLevel="0" collapsed="false">
      <c r="A7" s="2" t="s">
        <v>41</v>
      </c>
      <c r="B7" s="2" t="s">
        <v>16</v>
      </c>
      <c r="C7" s="3" t="s">
        <v>42</v>
      </c>
      <c r="D7" s="2" t="s">
        <v>38</v>
      </c>
      <c r="E7" s="2" t="s">
        <v>19</v>
      </c>
      <c r="F7" s="2" t="s">
        <v>39</v>
      </c>
      <c r="G7" s="2"/>
      <c r="H7" s="3"/>
      <c r="I7" s="2" t="s">
        <v>43</v>
      </c>
      <c r="J7" s="4"/>
      <c r="K7" s="5"/>
      <c r="L7" s="4"/>
      <c r="M7" s="6"/>
      <c r="N7" s="7"/>
      <c r="O7" s="6" t="s">
        <v>188</v>
      </c>
      <c r="P7" s="6" t="s">
        <v>207</v>
      </c>
    </row>
    <row r="8" customFormat="false" ht="15" hidden="false" customHeight="false" outlineLevel="0" collapsed="false">
      <c r="A8" s="2" t="s">
        <v>44</v>
      </c>
      <c r="B8" s="2" t="s">
        <v>16</v>
      </c>
      <c r="C8" s="3" t="s">
        <v>45</v>
      </c>
      <c r="D8" s="2" t="s">
        <v>38</v>
      </c>
      <c r="E8" s="2" t="s">
        <v>19</v>
      </c>
      <c r="F8" s="2" t="s">
        <v>39</v>
      </c>
      <c r="G8" s="2"/>
      <c r="H8" s="3"/>
      <c r="I8" s="2" t="s">
        <v>46</v>
      </c>
      <c r="J8" s="4"/>
      <c r="K8" s="5"/>
      <c r="L8" s="4"/>
      <c r="M8" s="6"/>
      <c r="N8" s="7"/>
      <c r="O8" s="6"/>
      <c r="P8" s="6" t="s">
        <v>207</v>
      </c>
    </row>
    <row r="9" customFormat="false" ht="15" hidden="false" customHeight="false" outlineLevel="0" collapsed="false">
      <c r="A9" s="2" t="s">
        <v>47</v>
      </c>
      <c r="B9" s="2" t="s">
        <v>16</v>
      </c>
      <c r="C9" s="3" t="s">
        <v>48</v>
      </c>
      <c r="D9" s="2" t="s">
        <v>38</v>
      </c>
      <c r="E9" s="2" t="s">
        <v>19</v>
      </c>
      <c r="F9" s="2" t="s">
        <v>39</v>
      </c>
      <c r="G9" s="2"/>
      <c r="H9" s="3"/>
      <c r="I9" s="2" t="s">
        <v>49</v>
      </c>
      <c r="J9" s="4"/>
      <c r="K9" s="5"/>
      <c r="L9" s="4"/>
      <c r="M9" s="6"/>
      <c r="N9" s="7"/>
      <c r="O9" s="6"/>
      <c r="P9" s="6" t="s">
        <v>207</v>
      </c>
    </row>
    <row r="10" customFormat="false" ht="23.85" hidden="false" customHeight="false" outlineLevel="0" collapsed="false">
      <c r="A10" s="2" t="s">
        <v>50</v>
      </c>
      <c r="B10" s="2" t="s">
        <v>16</v>
      </c>
      <c r="C10" s="3" t="s">
        <v>51</v>
      </c>
      <c r="D10" s="2" t="s">
        <v>52</v>
      </c>
      <c r="E10" s="2" t="s">
        <v>19</v>
      </c>
      <c r="F10" s="2" t="s">
        <v>53</v>
      </c>
      <c r="G10" s="2" t="s">
        <v>54</v>
      </c>
      <c r="H10" s="3" t="s">
        <v>55</v>
      </c>
      <c r="I10" s="2" t="s">
        <v>56</v>
      </c>
      <c r="J10" s="4"/>
      <c r="K10" s="5"/>
      <c r="L10" s="4"/>
      <c r="M10" s="6"/>
      <c r="N10" s="7"/>
      <c r="O10" s="6" t="s">
        <v>192</v>
      </c>
      <c r="P10" s="6" t="s">
        <v>207</v>
      </c>
    </row>
    <row r="11" customFormat="false" ht="23.85" hidden="false" customHeight="false" outlineLevel="0" collapsed="false">
      <c r="A11" s="2" t="s">
        <v>57</v>
      </c>
      <c r="B11" s="2" t="s">
        <v>16</v>
      </c>
      <c r="C11" s="3" t="s">
        <v>58</v>
      </c>
      <c r="D11" s="2" t="s">
        <v>52</v>
      </c>
      <c r="E11" s="2" t="s">
        <v>19</v>
      </c>
      <c r="F11" s="2" t="s">
        <v>53</v>
      </c>
      <c r="G11" s="2" t="s">
        <v>54</v>
      </c>
      <c r="H11" s="3" t="s">
        <v>55</v>
      </c>
      <c r="I11" s="2" t="s">
        <v>59</v>
      </c>
      <c r="J11" s="4"/>
      <c r="K11" s="5"/>
      <c r="L11" s="4"/>
      <c r="M11" s="6"/>
      <c r="N11" s="7"/>
      <c r="O11" s="6" t="s">
        <v>193</v>
      </c>
      <c r="P11" s="6" t="s">
        <v>207</v>
      </c>
    </row>
    <row r="12" customFormat="false" ht="23.85" hidden="false" customHeight="false" outlineLevel="0" collapsed="false">
      <c r="A12" s="2" t="s">
        <v>60</v>
      </c>
      <c r="B12" s="2" t="s">
        <v>61</v>
      </c>
      <c r="C12" s="3" t="s">
        <v>62</v>
      </c>
      <c r="D12" s="2" t="s">
        <v>63</v>
      </c>
      <c r="E12" s="2" t="s">
        <v>19</v>
      </c>
      <c r="F12" s="2" t="s">
        <v>20</v>
      </c>
      <c r="G12" s="2" t="s">
        <v>64</v>
      </c>
      <c r="H12" s="3" t="s">
        <v>65</v>
      </c>
      <c r="I12" s="2" t="s">
        <v>66</v>
      </c>
      <c r="J12" s="4"/>
      <c r="K12" s="5"/>
      <c r="L12" s="4"/>
      <c r="M12" s="6"/>
      <c r="N12" s="7"/>
      <c r="O12" s="6"/>
      <c r="P12" s="6" t="s">
        <v>207</v>
      </c>
    </row>
    <row r="13" customFormat="false" ht="23.85" hidden="false" customHeight="false" outlineLevel="0" collapsed="false">
      <c r="A13" s="2" t="s">
        <v>67</v>
      </c>
      <c r="B13" s="2" t="s">
        <v>61</v>
      </c>
      <c r="C13" s="3" t="s">
        <v>68</v>
      </c>
      <c r="D13" s="2" t="s">
        <v>69</v>
      </c>
      <c r="E13" s="2" t="s">
        <v>19</v>
      </c>
      <c r="F13" s="2" t="s">
        <v>20</v>
      </c>
      <c r="G13" s="2" t="s">
        <v>64</v>
      </c>
      <c r="H13" s="3" t="s">
        <v>70</v>
      </c>
      <c r="I13" s="2" t="s">
        <v>71</v>
      </c>
      <c r="J13" s="4"/>
      <c r="K13" s="5"/>
      <c r="L13" s="4"/>
      <c r="M13" s="6"/>
      <c r="N13" s="7"/>
      <c r="O13" s="6"/>
      <c r="P13" s="6" t="s">
        <v>207</v>
      </c>
    </row>
    <row r="14" customFormat="false" ht="23.85" hidden="false" customHeight="false" outlineLevel="0" collapsed="false">
      <c r="A14" s="2" t="s">
        <v>72</v>
      </c>
      <c r="B14" s="2" t="s">
        <v>61</v>
      </c>
      <c r="C14" s="3" t="s">
        <v>73</v>
      </c>
      <c r="D14" s="2" t="s">
        <v>69</v>
      </c>
      <c r="E14" s="2" t="s">
        <v>19</v>
      </c>
      <c r="F14" s="2" t="s">
        <v>20</v>
      </c>
      <c r="G14" s="2" t="s">
        <v>64</v>
      </c>
      <c r="H14" s="3" t="s">
        <v>70</v>
      </c>
      <c r="I14" s="2" t="s">
        <v>74</v>
      </c>
      <c r="J14" s="4"/>
      <c r="K14" s="5"/>
      <c r="L14" s="4"/>
      <c r="M14" s="6"/>
      <c r="N14" s="7"/>
      <c r="O14" s="6"/>
      <c r="P14" s="6" t="s">
        <v>207</v>
      </c>
    </row>
    <row r="15" customFormat="false" ht="23.85" hidden="false" customHeight="false" outlineLevel="0" collapsed="false">
      <c r="A15" s="2" t="s">
        <v>75</v>
      </c>
      <c r="B15" s="2" t="s">
        <v>61</v>
      </c>
      <c r="C15" s="3" t="s">
        <v>76</v>
      </c>
      <c r="D15" s="2" t="s">
        <v>69</v>
      </c>
      <c r="E15" s="2" t="s">
        <v>19</v>
      </c>
      <c r="F15" s="2" t="s">
        <v>77</v>
      </c>
      <c r="G15" s="2" t="s">
        <v>64</v>
      </c>
      <c r="H15" s="3" t="s">
        <v>70</v>
      </c>
      <c r="I15" s="2" t="s">
        <v>78</v>
      </c>
      <c r="J15" s="4"/>
      <c r="K15" s="5"/>
      <c r="L15" s="4"/>
      <c r="M15" s="6"/>
      <c r="N15" s="7"/>
      <c r="O15" s="6"/>
      <c r="P15" s="6" t="s">
        <v>207</v>
      </c>
    </row>
    <row r="16" customFormat="false" ht="23.85" hidden="false" customHeight="false" outlineLevel="0" collapsed="false">
      <c r="A16" s="2" t="s">
        <v>79</v>
      </c>
      <c r="B16" s="2" t="s">
        <v>61</v>
      </c>
      <c r="C16" s="3" t="s">
        <v>80</v>
      </c>
      <c r="D16" s="2" t="s">
        <v>69</v>
      </c>
      <c r="E16" s="2" t="s">
        <v>19</v>
      </c>
      <c r="F16" s="2" t="s">
        <v>77</v>
      </c>
      <c r="G16" s="2" t="s">
        <v>64</v>
      </c>
      <c r="H16" s="3" t="s">
        <v>70</v>
      </c>
      <c r="I16" s="2" t="s">
        <v>81</v>
      </c>
      <c r="J16" s="4"/>
      <c r="K16" s="5"/>
      <c r="L16" s="4"/>
      <c r="M16" s="6"/>
      <c r="N16" s="7"/>
      <c r="O16" s="6"/>
      <c r="P16" s="6" t="s">
        <v>207</v>
      </c>
    </row>
    <row r="17" customFormat="false" ht="23.85" hidden="false" customHeight="false" outlineLevel="0" collapsed="false">
      <c r="A17" s="2" t="s">
        <v>82</v>
      </c>
      <c r="B17" s="2" t="s">
        <v>61</v>
      </c>
      <c r="C17" s="3" t="s">
        <v>189</v>
      </c>
      <c r="D17" s="2" t="s">
        <v>69</v>
      </c>
      <c r="E17" s="2" t="s">
        <v>19</v>
      </c>
      <c r="F17" s="2" t="s">
        <v>77</v>
      </c>
      <c r="G17" s="2" t="s">
        <v>64</v>
      </c>
      <c r="H17" s="3" t="s">
        <v>70</v>
      </c>
      <c r="I17" s="2" t="s">
        <v>84</v>
      </c>
      <c r="J17" s="4"/>
      <c r="K17" s="5"/>
      <c r="L17" s="4"/>
      <c r="M17" s="6"/>
      <c r="N17" s="7"/>
      <c r="O17" s="6" t="s">
        <v>190</v>
      </c>
      <c r="P17" s="6" t="s">
        <v>207</v>
      </c>
    </row>
    <row r="18" customFormat="false" ht="15" hidden="false" customHeight="false" outlineLevel="0" collapsed="false">
      <c r="A18" s="2" t="s">
        <v>85</v>
      </c>
      <c r="B18" s="2" t="s">
        <v>61</v>
      </c>
      <c r="C18" s="3" t="s">
        <v>86</v>
      </c>
      <c r="D18" s="2" t="s">
        <v>69</v>
      </c>
      <c r="E18" s="2" t="s">
        <v>19</v>
      </c>
      <c r="F18" s="2" t="s">
        <v>77</v>
      </c>
      <c r="G18" s="2"/>
      <c r="H18" s="3"/>
      <c r="I18" s="2" t="s">
        <v>87</v>
      </c>
      <c r="J18" s="4"/>
      <c r="K18" s="5"/>
      <c r="L18" s="4"/>
      <c r="M18" s="6"/>
      <c r="N18" s="7"/>
      <c r="O18" s="6" t="s">
        <v>191</v>
      </c>
      <c r="P18" s="6" t="s">
        <v>207</v>
      </c>
    </row>
    <row r="19" customFormat="false" ht="15" hidden="false" customHeight="false" outlineLevel="0" collapsed="false">
      <c r="A19" s="2" t="s">
        <v>88</v>
      </c>
      <c r="B19" s="2" t="s">
        <v>61</v>
      </c>
      <c r="C19" s="3" t="s">
        <v>89</v>
      </c>
      <c r="D19" s="2" t="s">
        <v>69</v>
      </c>
      <c r="E19" s="2" t="s">
        <v>19</v>
      </c>
      <c r="F19" s="2" t="s">
        <v>77</v>
      </c>
      <c r="G19" s="2"/>
      <c r="H19" s="3"/>
      <c r="I19" s="2" t="s">
        <v>90</v>
      </c>
      <c r="J19" s="4"/>
      <c r="K19" s="5"/>
      <c r="L19" s="4"/>
      <c r="M19" s="6"/>
      <c r="N19" s="7"/>
      <c r="O19" s="6"/>
      <c r="P19" s="6" t="s">
        <v>207</v>
      </c>
    </row>
    <row r="20" customFormat="false" ht="15" hidden="false" customHeight="false" outlineLevel="0" collapsed="false">
      <c r="A20" s="2" t="s">
        <v>91</v>
      </c>
      <c r="B20" s="2" t="s">
        <v>61</v>
      </c>
      <c r="C20" s="3" t="s">
        <v>92</v>
      </c>
      <c r="D20" s="2" t="s">
        <v>93</v>
      </c>
      <c r="E20" s="2" t="s">
        <v>19</v>
      </c>
      <c r="F20" s="2" t="s">
        <v>39</v>
      </c>
      <c r="G20" s="2"/>
      <c r="H20" s="3"/>
      <c r="I20" s="2" t="s">
        <v>94</v>
      </c>
      <c r="J20" s="4"/>
      <c r="K20" s="5"/>
      <c r="L20" s="4"/>
      <c r="M20" s="6"/>
      <c r="N20" s="7"/>
      <c r="O20" s="6"/>
      <c r="P20" s="6" t="s">
        <v>207</v>
      </c>
    </row>
    <row r="21" customFormat="false" ht="15" hidden="false" customHeight="false" outlineLevel="0" collapsed="false">
      <c r="A21" s="2" t="s">
        <v>95</v>
      </c>
      <c r="B21" s="2" t="s">
        <v>61</v>
      </c>
      <c r="C21" s="3" t="s">
        <v>96</v>
      </c>
      <c r="D21" s="2" t="s">
        <v>93</v>
      </c>
      <c r="E21" s="2" t="s">
        <v>19</v>
      </c>
      <c r="F21" s="2" t="s">
        <v>39</v>
      </c>
      <c r="G21" s="2"/>
      <c r="H21" s="3"/>
      <c r="I21" s="2" t="s">
        <v>97</v>
      </c>
      <c r="J21" s="4"/>
      <c r="K21" s="5"/>
      <c r="L21" s="4"/>
      <c r="M21" s="6"/>
      <c r="N21" s="7"/>
      <c r="O21" s="6"/>
      <c r="P21" s="6" t="s">
        <v>207</v>
      </c>
    </row>
    <row r="22" customFormat="false" ht="15" hidden="false" customHeight="false" outlineLevel="0" collapsed="false">
      <c r="A22" s="2" t="s">
        <v>98</v>
      </c>
      <c r="B22" s="2" t="s">
        <v>61</v>
      </c>
      <c r="C22" s="3" t="s">
        <v>99</v>
      </c>
      <c r="D22" s="2" t="s">
        <v>93</v>
      </c>
      <c r="E22" s="2" t="s">
        <v>19</v>
      </c>
      <c r="F22" s="2" t="s">
        <v>39</v>
      </c>
      <c r="G22" s="2"/>
      <c r="H22" s="3"/>
      <c r="I22" s="2" t="s">
        <v>100</v>
      </c>
      <c r="J22" s="4"/>
      <c r="K22" s="5"/>
      <c r="L22" s="4"/>
      <c r="M22" s="6"/>
      <c r="N22" s="7"/>
      <c r="O22" s="6"/>
      <c r="P22" s="6" t="s">
        <v>207</v>
      </c>
    </row>
    <row r="23" customFormat="false" ht="15" hidden="false" customHeight="false" outlineLevel="0" collapsed="false">
      <c r="A23" s="2" t="s">
        <v>101</v>
      </c>
      <c r="B23" s="2" t="s">
        <v>61</v>
      </c>
      <c r="C23" s="3" t="s">
        <v>102</v>
      </c>
      <c r="D23" s="2" t="s">
        <v>93</v>
      </c>
      <c r="E23" s="2" t="s">
        <v>19</v>
      </c>
      <c r="F23" s="2" t="s">
        <v>39</v>
      </c>
      <c r="G23" s="2"/>
      <c r="H23" s="3"/>
      <c r="I23" s="2" t="s">
        <v>103</v>
      </c>
      <c r="J23" s="4"/>
      <c r="K23" s="5"/>
      <c r="L23" s="4"/>
      <c r="M23" s="6"/>
      <c r="N23" s="7"/>
      <c r="O23" s="6"/>
      <c r="P23" s="6" t="s">
        <v>207</v>
      </c>
    </row>
    <row r="24" customFormat="false" ht="15" hidden="false" customHeight="false" outlineLevel="0" collapsed="false">
      <c r="A24" s="2" t="s">
        <v>104</v>
      </c>
      <c r="B24" s="2" t="s">
        <v>105</v>
      </c>
      <c r="C24" s="3" t="s">
        <v>106</v>
      </c>
      <c r="D24" s="2" t="s">
        <v>107</v>
      </c>
      <c r="E24" s="2" t="s">
        <v>19</v>
      </c>
      <c r="F24" s="2" t="s">
        <v>20</v>
      </c>
      <c r="G24" s="2" t="s">
        <v>108</v>
      </c>
      <c r="H24" s="3"/>
      <c r="I24" s="2" t="s">
        <v>109</v>
      </c>
      <c r="J24" s="4"/>
      <c r="K24" s="5"/>
      <c r="L24" s="4"/>
      <c r="M24" s="6"/>
      <c r="N24" s="7"/>
      <c r="O24" s="6"/>
      <c r="P24" s="6" t="s">
        <v>207</v>
      </c>
    </row>
    <row r="25" customFormat="false" ht="15" hidden="false" customHeight="false" outlineLevel="0" collapsed="false">
      <c r="A25" s="2" t="s">
        <v>110</v>
      </c>
      <c r="B25" s="2" t="s">
        <v>105</v>
      </c>
      <c r="C25" s="3" t="s">
        <v>111</v>
      </c>
      <c r="D25" s="2" t="s">
        <v>112</v>
      </c>
      <c r="E25" s="2" t="s">
        <v>19</v>
      </c>
      <c r="F25" s="2" t="s">
        <v>39</v>
      </c>
      <c r="G25" s="2"/>
      <c r="H25" s="3"/>
      <c r="I25" s="2" t="s">
        <v>113</v>
      </c>
      <c r="J25" s="4"/>
      <c r="K25" s="5"/>
      <c r="L25" s="4"/>
      <c r="M25" s="6"/>
      <c r="N25" s="7"/>
      <c r="O25" s="6"/>
      <c r="P25" s="6" t="s">
        <v>207</v>
      </c>
    </row>
    <row r="26" customFormat="false" ht="15" hidden="false" customHeight="false" outlineLevel="0" collapsed="false">
      <c r="A26" s="2" t="s">
        <v>114</v>
      </c>
      <c r="B26" s="2" t="s">
        <v>105</v>
      </c>
      <c r="C26" s="3" t="s">
        <v>115</v>
      </c>
      <c r="D26" s="2" t="s">
        <v>116</v>
      </c>
      <c r="E26" s="2" t="s">
        <v>19</v>
      </c>
      <c r="F26" s="2" t="s">
        <v>39</v>
      </c>
      <c r="G26" s="2"/>
      <c r="H26" s="3"/>
      <c r="I26" s="2" t="s">
        <v>117</v>
      </c>
      <c r="J26" s="4"/>
      <c r="K26" s="5"/>
      <c r="L26" s="4"/>
      <c r="M26" s="6"/>
      <c r="N26" s="7"/>
      <c r="O26" s="6"/>
      <c r="P26" s="6" t="s">
        <v>207</v>
      </c>
    </row>
    <row r="27" customFormat="false" ht="15" hidden="false" customHeight="false" outlineLevel="0" collapsed="false">
      <c r="A27" s="2" t="s">
        <v>118</v>
      </c>
      <c r="B27" s="2" t="s">
        <v>105</v>
      </c>
      <c r="C27" s="3" t="s">
        <v>119</v>
      </c>
      <c r="D27" s="2" t="s">
        <v>63</v>
      </c>
      <c r="E27" s="2" t="s">
        <v>19</v>
      </c>
      <c r="F27" s="2" t="s">
        <v>39</v>
      </c>
      <c r="G27" s="2"/>
      <c r="H27" s="3"/>
      <c r="I27" s="2" t="s">
        <v>120</v>
      </c>
      <c r="J27" s="4"/>
      <c r="K27" s="5"/>
      <c r="L27" s="4"/>
      <c r="M27" s="6"/>
      <c r="N27" s="7"/>
      <c r="O27" s="6"/>
      <c r="P27" s="6" t="s">
        <v>207</v>
      </c>
    </row>
    <row r="28" customFormat="false" ht="23.85" hidden="false" customHeight="false" outlineLevel="0" collapsed="false">
      <c r="A28" s="2" t="s">
        <v>121</v>
      </c>
      <c r="B28" s="2" t="s">
        <v>122</v>
      </c>
      <c r="C28" s="3" t="s">
        <v>123</v>
      </c>
      <c r="D28" s="2" t="s">
        <v>124</v>
      </c>
      <c r="E28" s="2" t="s">
        <v>125</v>
      </c>
      <c r="F28" s="2" t="s">
        <v>20</v>
      </c>
      <c r="G28" s="2" t="s">
        <v>64</v>
      </c>
      <c r="H28" s="3" t="s">
        <v>126</v>
      </c>
      <c r="I28" s="2" t="s">
        <v>127</v>
      </c>
      <c r="J28" s="4"/>
      <c r="K28" s="5"/>
      <c r="L28" s="4"/>
      <c r="M28" s="6"/>
      <c r="N28" s="7"/>
      <c r="O28" s="6"/>
      <c r="P28" s="6" t="s">
        <v>208</v>
      </c>
    </row>
    <row r="29" customFormat="false" ht="15" hidden="false" customHeight="false" outlineLevel="0" collapsed="false">
      <c r="A29" s="2" t="s">
        <v>128</v>
      </c>
      <c r="B29" s="2" t="s">
        <v>122</v>
      </c>
      <c r="C29" s="3" t="s">
        <v>129</v>
      </c>
      <c r="D29" s="2" t="s">
        <v>63</v>
      </c>
      <c r="E29" s="2" t="s">
        <v>125</v>
      </c>
      <c r="F29" s="2" t="s">
        <v>20</v>
      </c>
      <c r="G29" s="2" t="s">
        <v>130</v>
      </c>
      <c r="H29" s="3" t="s">
        <v>131</v>
      </c>
      <c r="I29" s="2" t="s">
        <v>132</v>
      </c>
      <c r="J29" s="4"/>
      <c r="K29" s="5"/>
      <c r="L29" s="4"/>
      <c r="M29" s="6"/>
      <c r="N29" s="7"/>
      <c r="O29" s="6"/>
      <c r="P29" s="6" t="s">
        <v>208</v>
      </c>
    </row>
    <row r="30" customFormat="false" ht="15" hidden="false" customHeight="false" outlineLevel="0" collapsed="false">
      <c r="A30" s="2" t="s">
        <v>133</v>
      </c>
      <c r="B30" s="2" t="s">
        <v>134</v>
      </c>
      <c r="C30" s="3" t="s">
        <v>135</v>
      </c>
      <c r="D30" s="2" t="s">
        <v>63</v>
      </c>
      <c r="E30" s="2" t="s">
        <v>19</v>
      </c>
      <c r="F30" s="2" t="s">
        <v>39</v>
      </c>
      <c r="G30" s="2"/>
      <c r="H30" s="3"/>
      <c r="I30" s="2" t="s">
        <v>136</v>
      </c>
      <c r="J30" s="4"/>
      <c r="K30" s="5"/>
      <c r="L30" s="4"/>
      <c r="M30" s="6"/>
      <c r="N30" s="7"/>
      <c r="O30" s="6"/>
      <c r="P30" s="6" t="s">
        <v>207</v>
      </c>
    </row>
    <row r="31" customFormat="false" ht="15" hidden="false" customHeight="false" outlineLevel="0" collapsed="false">
      <c r="A31" s="2" t="s">
        <v>137</v>
      </c>
      <c r="B31" s="2" t="s">
        <v>134</v>
      </c>
      <c r="C31" s="3" t="s">
        <v>138</v>
      </c>
      <c r="D31" s="2" t="s">
        <v>63</v>
      </c>
      <c r="E31" s="2" t="s">
        <v>19</v>
      </c>
      <c r="F31" s="2" t="s">
        <v>39</v>
      </c>
      <c r="G31" s="2"/>
      <c r="H31" s="3"/>
      <c r="I31" s="2" t="s">
        <v>139</v>
      </c>
      <c r="J31" s="4"/>
      <c r="K31" s="5"/>
      <c r="L31" s="4"/>
      <c r="M31" s="6"/>
      <c r="N31" s="7"/>
      <c r="O31" s="6"/>
      <c r="P31" s="6" t="s">
        <v>207</v>
      </c>
    </row>
    <row r="32" customFormat="false" ht="15" hidden="false" customHeight="false" outlineLevel="0" collapsed="false">
      <c r="A32" s="2" t="s">
        <v>194</v>
      </c>
      <c r="B32" s="2" t="s">
        <v>61</v>
      </c>
      <c r="C32" s="3" t="s">
        <v>195</v>
      </c>
      <c r="D32" s="2" t="s">
        <v>69</v>
      </c>
      <c r="E32" s="2" t="s">
        <v>125</v>
      </c>
      <c r="F32" s="2" t="s">
        <v>20</v>
      </c>
      <c r="G32" s="2" t="s">
        <v>108</v>
      </c>
      <c r="H32" s="3"/>
      <c r="I32" s="2" t="s">
        <v>196</v>
      </c>
      <c r="J32" s="4"/>
      <c r="K32" s="5"/>
      <c r="L32" s="4"/>
      <c r="M32" s="6"/>
      <c r="N32" s="7"/>
      <c r="O32" s="6" t="s">
        <v>197</v>
      </c>
      <c r="P32" s="6" t="s">
        <v>209</v>
      </c>
    </row>
    <row r="33" customFormat="false" ht="15" hidden="false" customHeight="false" outlineLevel="0" collapsed="false">
      <c r="A33" s="2" t="s">
        <v>198</v>
      </c>
      <c r="B33" s="2" t="s">
        <v>61</v>
      </c>
      <c r="C33" s="3" t="s">
        <v>199</v>
      </c>
      <c r="D33" s="2" t="s">
        <v>69</v>
      </c>
      <c r="E33" s="2" t="s">
        <v>125</v>
      </c>
      <c r="F33" s="2" t="s">
        <v>20</v>
      </c>
      <c r="G33" s="2" t="s">
        <v>108</v>
      </c>
      <c r="H33" s="3"/>
      <c r="I33" s="2" t="s">
        <v>200</v>
      </c>
      <c r="J33" s="4"/>
      <c r="K33" s="5"/>
      <c r="L33" s="4"/>
      <c r="M33" s="6"/>
      <c r="N33" s="7"/>
      <c r="O33" s="6" t="s">
        <v>201</v>
      </c>
      <c r="P33" s="6" t="s">
        <v>209</v>
      </c>
    </row>
    <row r="34" customFormat="false" ht="15" hidden="false" customHeight="false" outlineLevel="0" collapsed="false">
      <c r="A34" s="2" t="s">
        <v>202</v>
      </c>
      <c r="B34" s="2" t="s">
        <v>16</v>
      </c>
      <c r="C34" s="3" t="s">
        <v>203</v>
      </c>
      <c r="D34" s="2" t="s">
        <v>18</v>
      </c>
      <c r="E34" s="2" t="s">
        <v>125</v>
      </c>
      <c r="F34" s="2" t="s">
        <v>20</v>
      </c>
      <c r="G34" s="2" t="s">
        <v>108</v>
      </c>
      <c r="H34" s="3"/>
      <c r="I34" s="2" t="s">
        <v>204</v>
      </c>
      <c r="J34" s="4"/>
      <c r="K34" s="5"/>
      <c r="L34" s="4"/>
      <c r="M34" s="6"/>
      <c r="N34" s="7"/>
      <c r="O34" s="6" t="s">
        <v>205</v>
      </c>
      <c r="P34" s="6" t="s">
        <v>209</v>
      </c>
    </row>
  </sheetData>
  <autoFilter ref="A1:P34"/>
  <dataValidations count="2">
    <dataValidation allowBlank="true" errorStyle="stop" operator="between" showDropDown="false" showErrorMessage="false" showInputMessage="false" sqref="F2:F31" type="list">
      <formula1>"Disponível,Pendente,A confirmar,A corrigir,Descartado"</formula1>
      <formula2>0</formula2>
    </dataValidation>
    <dataValidation allowBlank="true" errorStyle="stop" operator="between" showDropDown="false" showErrorMessage="false" showInputMessage="false" sqref="E2:E31 L2:L3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2"/>
  </cols>
  <sheetData>
    <row r="1" customFormat="false" ht="16.15" hidden="false" customHeight="false" outlineLevel="0" collapsed="false">
      <c r="A1" s="8" t="s">
        <v>140</v>
      </c>
    </row>
    <row r="2" customFormat="false" ht="15" hidden="false" customHeight="false" outlineLevel="0" collapsed="false">
      <c r="A2" s="9" t="s">
        <v>141</v>
      </c>
    </row>
    <row r="4" customFormat="false" ht="15" hidden="false" customHeight="false" outlineLevel="0" collapsed="false">
      <c r="A4" s="10" t="s">
        <v>142</v>
      </c>
      <c r="B4" s="11" t="n">
        <f aca="false">COUNTA(Inventário!A2:A34)</f>
        <v>30</v>
      </c>
    </row>
    <row r="5" customFormat="false" ht="15" hidden="false" customHeight="false" outlineLevel="0" collapsed="false">
      <c r="A5" s="10" t="s">
        <v>143</v>
      </c>
      <c r="B5" s="11" t="n">
        <f aca="false">COUNTIF(Inventário!E2:E34,"Sim")</f>
        <v>28</v>
      </c>
    </row>
    <row r="6" customFormat="false" ht="15" hidden="false" customHeight="false" outlineLevel="0" collapsed="false">
      <c r="A6" s="10" t="s">
        <v>144</v>
      </c>
      <c r="B6" s="11" t="n">
        <f aca="false">COUNTIF(Inventário!F2:F34,"Disponível")</f>
        <v>10</v>
      </c>
    </row>
    <row r="7" customFormat="false" ht="15" hidden="false" customHeight="false" outlineLevel="0" collapsed="false">
      <c r="A7" s="10" t="s">
        <v>145</v>
      </c>
      <c r="B7" s="11" t="n">
        <f aca="false">COUNTIF(Inventário!F2:F34,"Pendente")</f>
        <v>13</v>
      </c>
    </row>
    <row r="8" customFormat="false" ht="15" hidden="false" customHeight="false" outlineLevel="0" collapsed="false">
      <c r="A8" s="10" t="s">
        <v>77</v>
      </c>
      <c r="B8" s="11" t="n">
        <f aca="false">COUNTIF(Inventário!F2:F34,"A confirmar")</f>
        <v>5</v>
      </c>
    </row>
    <row r="9" customFormat="false" ht="15" hidden="false" customHeight="false" outlineLevel="0" collapsed="false">
      <c r="A9" s="10" t="s">
        <v>53</v>
      </c>
      <c r="B9" s="11" t="n">
        <f aca="false">COUNTIF(Inventário!F2:F34,"A corrigir")</f>
        <v>2</v>
      </c>
    </row>
    <row r="10" customFormat="false" ht="15" hidden="false" customHeight="false" outlineLevel="0" collapsed="false">
      <c r="A10" s="10" t="s">
        <v>146</v>
      </c>
      <c r="B10" s="11" t="n">
        <f aca="false">COUNTIFS(Inventário!E2:E34,"Sim",Inventário!F2:F34,"&lt;&gt;Disponível")</f>
        <v>20</v>
      </c>
    </row>
    <row r="11" customFormat="false" ht="15" hidden="false" customHeight="false" outlineLevel="0" collapsed="false">
      <c r="A11" s="10" t="s">
        <v>147</v>
      </c>
      <c r="B11" s="11" t="n">
        <f aca="false">COUNTIF(Inventário!L2:L34,"Sim")</f>
        <v>0</v>
      </c>
    </row>
    <row r="12" customFormat="false" ht="15" hidden="false" customHeight="false" outlineLevel="0" collapsed="false">
      <c r="A12" s="10" t="s">
        <v>148</v>
      </c>
      <c r="B12" s="11" t="n">
        <f aca="false">COUNTIFS(Inventário!E2:E34,"Sim",Inventário!L2:L34,"&lt;&gt;Sim")</f>
        <v>28</v>
      </c>
    </row>
    <row r="13" customFormat="false" ht="15" hidden="false" customHeight="false" outlineLevel="0" collapsed="false">
      <c r="A13" s="10" t="s">
        <v>149</v>
      </c>
      <c r="B13" s="11" t="n">
        <f aca="false">SUMPRODUCT((Inventário!G2:G34&lt;&gt;"")*(ISNUMBER(SEARCH("Google",Inventário!G2:G34))+ISNUMBER(SEARCH("Figma",Inventário!G2:G34))&gt;0))</f>
        <v>13</v>
      </c>
    </row>
    <row r="16" customFormat="false" ht="15" hidden="false" customHeight="false" outlineLevel="0" collapsed="false">
      <c r="A16" s="12" t="s">
        <v>150</v>
      </c>
      <c r="B16" s="13" t="s">
        <v>151</v>
      </c>
      <c r="C16" s="13" t="s">
        <v>144</v>
      </c>
    </row>
    <row r="17" customFormat="false" ht="15" hidden="false" customHeight="false" outlineLevel="0" collapsed="false">
      <c r="A17" s="10" t="s">
        <v>16</v>
      </c>
      <c r="B17" s="14" t="n">
        <f aca="false">COUNTIF(Inventário!B2:B34,A17)</f>
        <v>10</v>
      </c>
      <c r="C17" s="14" t="n">
        <f aca="false">COUNTIFS(Inventário!B2:B34,A17,Inventário!F2:F34,"Disponível")</f>
        <v>4</v>
      </c>
    </row>
    <row r="18" customFormat="false" ht="15" hidden="false" customHeight="false" outlineLevel="0" collapsed="false">
      <c r="A18" s="10" t="s">
        <v>61</v>
      </c>
      <c r="B18" s="14" t="n">
        <f aca="false">COUNTIF(Inventário!B2:B34,A18)</f>
        <v>12</v>
      </c>
      <c r="C18" s="14" t="n">
        <f aca="false">COUNTIFS(Inventário!B2:B34,A18,Inventário!F2:F34,"Disponível")</f>
        <v>3</v>
      </c>
    </row>
    <row r="19" customFormat="false" ht="15" hidden="false" customHeight="false" outlineLevel="0" collapsed="false">
      <c r="A19" s="10" t="s">
        <v>105</v>
      </c>
      <c r="B19" s="14" t="n">
        <f aca="false">COUNTIF(Inventário!B2:B34,A19)</f>
        <v>4</v>
      </c>
      <c r="C19" s="14" t="n">
        <f aca="false">COUNTIFS(Inventário!B2:B34,A19,Inventário!F2:F34,"Disponível")</f>
        <v>1</v>
      </c>
    </row>
    <row r="20" customFormat="false" ht="15" hidden="false" customHeight="false" outlineLevel="0" collapsed="false">
      <c r="A20" s="10" t="s">
        <v>122</v>
      </c>
      <c r="B20" s="14" t="n">
        <f aca="false">COUNTIF(Inventário!B2:B34,A20)</f>
        <v>2</v>
      </c>
      <c r="C20" s="14" t="n">
        <f aca="false">COUNTIFS(Inventário!B2:B34,A20,Inventário!F2:F34,"Disponível")</f>
        <v>2</v>
      </c>
    </row>
    <row r="21" customFormat="false" ht="15" hidden="false" customHeight="false" outlineLevel="0" collapsed="false">
      <c r="A21" s="10" t="s">
        <v>134</v>
      </c>
      <c r="B21" s="14" t="n">
        <f aca="false">COUNTIF(Inventário!B2:B34,A21)</f>
        <v>2</v>
      </c>
      <c r="C21" s="14" t="n">
        <f aca="false">COUNTIFS(Inventário!B2:B34,A21,Inventário!F2:F34,"Disponível")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15" t="s">
        <v>152</v>
      </c>
    </row>
    <row r="2" customFormat="false" ht="15" hidden="false" customHeight="false" outlineLevel="0" collapsed="false">
      <c r="A2" s="16"/>
    </row>
    <row r="3" customFormat="false" ht="15" hidden="false" customHeight="false" outlineLevel="0" collapsed="false">
      <c r="A3" s="16" t="s">
        <v>153</v>
      </c>
    </row>
    <row r="4" customFormat="false" ht="15" hidden="false" customHeight="false" outlineLevel="0" collapsed="false">
      <c r="A4" s="16" t="s">
        <v>154</v>
      </c>
    </row>
    <row r="5" customFormat="false" ht="15" hidden="false" customHeight="false" outlineLevel="0" collapsed="false">
      <c r="A5" s="16" t="s">
        <v>155</v>
      </c>
    </row>
    <row r="6" customFormat="false" ht="15" hidden="false" customHeight="false" outlineLevel="0" collapsed="false">
      <c r="A6" s="16"/>
    </row>
    <row r="7" customFormat="false" ht="15" hidden="false" customHeight="false" outlineLevel="0" collapsed="false">
      <c r="A7" s="16" t="s">
        <v>156</v>
      </c>
    </row>
    <row r="8" customFormat="false" ht="15" hidden="false" customHeight="false" outlineLevel="0" collapsed="false">
      <c r="A8" s="16" t="s">
        <v>157</v>
      </c>
    </row>
    <row r="9" customFormat="false" ht="15" hidden="false" customHeight="false" outlineLevel="0" collapsed="false">
      <c r="A9" s="16"/>
    </row>
    <row r="10" customFormat="false" ht="15" hidden="false" customHeight="false" outlineLevel="0" collapsed="false">
      <c r="A10" s="15" t="s">
        <v>158</v>
      </c>
    </row>
    <row r="11" customFormat="false" ht="15" hidden="false" customHeight="false" outlineLevel="0" collapsed="false">
      <c r="A11" s="16" t="s">
        <v>159</v>
      </c>
    </row>
    <row r="12" customFormat="false" ht="15" hidden="false" customHeight="false" outlineLevel="0" collapsed="false">
      <c r="A12" s="16" t="s">
        <v>160</v>
      </c>
    </row>
    <row r="13" customFormat="false" ht="15" hidden="false" customHeight="false" outlineLevel="0" collapsed="false">
      <c r="A13" s="16" t="s">
        <v>161</v>
      </c>
    </row>
    <row r="14" customFormat="false" ht="15" hidden="false" customHeight="false" outlineLevel="0" collapsed="false">
      <c r="A14" s="16" t="s">
        <v>162</v>
      </c>
    </row>
    <row r="15" customFormat="false" ht="15" hidden="false" customHeight="false" outlineLevel="0" collapsed="false">
      <c r="A15" s="16" t="s">
        <v>163</v>
      </c>
    </row>
    <row r="16" customFormat="false" ht="15" hidden="false" customHeight="false" outlineLevel="0" collapsed="false">
      <c r="A16" s="16" t="s">
        <v>164</v>
      </c>
    </row>
    <row r="17" customFormat="false" ht="15" hidden="false" customHeight="false" outlineLevel="0" collapsed="false">
      <c r="A17" s="16"/>
    </row>
    <row r="18" customFormat="false" ht="15" hidden="false" customHeight="false" outlineLevel="0" collapsed="false">
      <c r="A18" s="15" t="s">
        <v>165</v>
      </c>
    </row>
    <row r="19" customFormat="false" ht="15" hidden="false" customHeight="false" outlineLevel="0" collapsed="false">
      <c r="A19" s="16" t="s">
        <v>166</v>
      </c>
    </row>
    <row r="20" customFormat="false" ht="15" hidden="false" customHeight="false" outlineLevel="0" collapsed="false">
      <c r="A20" s="16" t="s">
        <v>167</v>
      </c>
    </row>
    <row r="21" customFormat="false" ht="15" hidden="false" customHeight="false" outlineLevel="0" collapsed="false">
      <c r="A21" s="16" t="s">
        <v>168</v>
      </c>
    </row>
    <row r="22" customFormat="false" ht="15" hidden="false" customHeight="false" outlineLevel="0" collapsed="false">
      <c r="A22" s="16" t="s">
        <v>169</v>
      </c>
    </row>
    <row r="23" customFormat="false" ht="15" hidden="false" customHeight="false" outlineLevel="0" collapsed="false">
      <c r="A23" s="16" t="s">
        <v>170</v>
      </c>
    </row>
    <row r="24" customFormat="false" ht="15" hidden="false" customHeight="false" outlineLevel="0" collapsed="false">
      <c r="A24" s="16" t="s">
        <v>171</v>
      </c>
    </row>
    <row r="25" customFormat="false" ht="15" hidden="false" customHeight="false" outlineLevel="0" collapsed="false">
      <c r="A25" s="16"/>
    </row>
    <row r="26" customFormat="false" ht="15" hidden="false" customHeight="false" outlineLevel="0" collapsed="false">
      <c r="A26" s="15" t="s">
        <v>172</v>
      </c>
    </row>
    <row r="27" customFormat="false" ht="15" hidden="false" customHeight="false" outlineLevel="0" collapsed="false">
      <c r="A27" s="16" t="s">
        <v>173</v>
      </c>
    </row>
    <row r="28" customFormat="false" ht="15" hidden="false" customHeight="false" outlineLevel="0" collapsed="false">
      <c r="A28" s="16" t="s">
        <v>174</v>
      </c>
    </row>
    <row r="29" customFormat="false" ht="15" hidden="false" customHeight="false" outlineLevel="0" collapsed="false">
      <c r="A29" s="16" t="s">
        <v>175</v>
      </c>
    </row>
    <row r="30" customFormat="false" ht="15" hidden="false" customHeight="false" outlineLevel="0" collapsed="false">
      <c r="A30" s="16"/>
    </row>
    <row r="31" customFormat="false" ht="15" hidden="false" customHeight="false" outlineLevel="0" collapsed="false">
      <c r="A31" s="15" t="s">
        <v>176</v>
      </c>
    </row>
    <row r="32" customFormat="false" ht="15" hidden="false" customHeight="false" outlineLevel="0" collapsed="false">
      <c r="A32" s="16" t="s">
        <v>177</v>
      </c>
    </row>
    <row r="33" customFormat="false" ht="15" hidden="false" customHeight="false" outlineLevel="0" collapsed="false">
      <c r="A33" s="16" t="s">
        <v>178</v>
      </c>
    </row>
    <row r="34" customFormat="false" ht="15" hidden="false" customHeight="false" outlineLevel="0" collapsed="false">
      <c r="A34" s="16" t="s">
        <v>179</v>
      </c>
    </row>
    <row r="35" customFormat="false" ht="15" hidden="false" customHeight="false" outlineLevel="0" collapsed="false">
      <c r="A35" s="16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2026-08-27T13:50:53Z</dcterms:created>
  <dc:creator>openpyxl</dc:creator>
  <dc:description/>
  <dc:language>en-US</dc:language>
  <cp:lastModifiedBy/>
  <dcterms:modified xsi:type="dcterms:W3CDTF">2026-08-27T13:50:53Z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